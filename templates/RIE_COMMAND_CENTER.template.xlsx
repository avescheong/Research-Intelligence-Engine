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Executive_Dashboard" sheetId="1" state="visible" r:id="rId1"/>
    <sheet xmlns:r="http://schemas.openxmlformats.org/officeDocument/2006/relationships" name="02_Object_Registry" sheetId="2" state="visible" r:id="rId2"/>
    <sheet xmlns:r="http://schemas.openxmlformats.org/officeDocument/2006/relationships" name="02A_KO_Registry" sheetId="3" state="visible" r:id="rId3"/>
    <sheet xmlns:r="http://schemas.openxmlformats.org/officeDocument/2006/relationships" name="02B_IO_Registry" sheetId="4" state="visible" r:id="rId4"/>
    <sheet xmlns:r="http://schemas.openxmlformats.org/officeDocument/2006/relationships" name="02C_EO_Registry" sheetId="5" state="visible" r:id="rId5"/>
    <sheet xmlns:r="http://schemas.openxmlformats.org/officeDocument/2006/relationships" name="03_Relationship_Registry" sheetId="6" state="visible" r:id="rId6"/>
    <sheet xmlns:r="http://schemas.openxmlformats.org/officeDocument/2006/relationships" name="04_Lineage_Explorer" sheetId="7" state="visible" r:id="rId7"/>
    <sheet xmlns:r="http://schemas.openxmlformats.org/officeDocument/2006/relationships" name="05_Knowledge_Frontier" sheetId="8" state="visible" r:id="rId8"/>
    <sheet xmlns:r="http://schemas.openxmlformats.org/officeDocument/2006/relationships" name="06_Provenance_Register" sheetId="9" state="visible" r:id="rId9"/>
    <sheet xmlns:r="http://schemas.openxmlformats.org/officeDocument/2006/relationships" name="07_Human_Decision_Log" sheetId="10" state="visible" r:id="rId10"/>
    <sheet xmlns:r="http://schemas.openxmlformats.org/officeDocument/2006/relationships" name="DATA_SOURCE" sheetId="11" state="visible" r:id="rId11"/>
    <sheet xmlns:r="http://schemas.openxmlformats.org/officeDocument/2006/relationships" name="DATA_EO" sheetId="12" state="visible" r:id="rId12"/>
    <sheet xmlns:r="http://schemas.openxmlformats.org/officeDocument/2006/relationships" name="DATA_IO" sheetId="13" state="visible" r:id="rId13"/>
    <sheet xmlns:r="http://schemas.openxmlformats.org/officeDocument/2006/relationships" name="DATA_KO" sheetId="14" state="visible" r:id="rId14"/>
    <sheet xmlns:r="http://schemas.openxmlformats.org/officeDocument/2006/relationships" name="DATA_RELATIONSHIPS" sheetId="15" state="visible" r:id="rId15"/>
    <sheet xmlns:r="http://schemas.openxmlformats.org/officeDocument/2006/relationships" name="DATA_CLUSTERS" sheetId="16" state="visible" r:id="rId16"/>
    <sheet xmlns:r="http://schemas.openxmlformats.org/officeDocument/2006/relationships" name="DATA_PROVENANCE" sheetId="17" state="visible" r:id="rId17"/>
    <sheet xmlns:r="http://schemas.openxmlformats.org/officeDocument/2006/relationships" name="DATA_DECISION_LOG" sheetId="18" state="visible" r:id="rId18"/>
    <sheet xmlns:r="http://schemas.openxmlformats.org/officeDocument/2006/relationships" name="DATA_EVOLUTION" sheetId="19" state="visible" r:id="rId19"/>
    <sheet xmlns:r="http://schemas.openxmlformats.org/officeDocument/2006/relationships" name="DATA_KO_HISTORY" sheetId="20" state="visible" r:id="rId20"/>
  </sheets>
  <definedNames>
    <definedName name="_xlnm._FilterDatabase" localSheetId="1" hidden="1">'02_Object_Registry'!$A$4:$H$100</definedName>
    <definedName name="_xlnm._FilterDatabase" localSheetId="5" hidden="1">'03_Relationship_Registry'!$A$4:$L$21</definedName>
    <definedName name="_xlnm._FilterDatabase" localSheetId="7" hidden="1">'05_Knowledge_Frontier'!$A$6:$K$26</definedName>
    <definedName name="_xlnm._FilterDatabase" localSheetId="8" hidden="1">'06_Provenance_Register'!$A$4:$G$13</definedName>
    <definedName name="_xlnm._FilterDatabase" localSheetId="9" hidden="1">'07_Human_Decision_Log'!$A$4:$I$8</definedName>
    <definedName name="_xlnm._FilterDatabase" localSheetId="11" hidden="1">'DATA_EO'!$A$1:$P$56</definedName>
    <definedName name="_xlnm._FilterDatabase" localSheetId="12" hidden="1">'DATA_IO'!$A$1:$K$24</definedName>
    <definedName name="_xlnm._FilterDatabase" localSheetId="13" hidden="1">'DATA_KO'!$A$1:$K$19</definedName>
    <definedName name="_xlnm._FilterDatabase" localSheetId="14" hidden="1">'DATA_RELATIONSHIPS'!$A$1:$J$18</definedName>
    <definedName name="_xlnm._FilterDatabase" localSheetId="15" hidden="1">'DATA_CLUSTERS'!$A$1:$O$5</definedName>
    <definedName name="_xlnm._FilterDatabase" localSheetId="18" hidden="1">'DATA_EVOLUTION'!$A$1:$J$19</definedName>
    <definedName name="_xlnm._FilterDatabase" localSheetId="19" hidden="1">'DATA_KO_HISTORY'!$A$1:$K$31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0">
    <font>
      <name val="Calibri"/>
      <color theme="1"/>
      <sz val="11"/>
      <scheme val="minor"/>
    </font>
    <font>
      <name val="Quattrocento Sans"/>
      <b val="1"/>
      <color rgb="FF1B365D"/>
      <sz val="15"/>
    </font>
    <font>
      <name val="Quattrocento Sans"/>
      <i val="1"/>
      <color rgb="FF4A607A"/>
      <sz val="10"/>
    </font>
    <font>
      <name val="Quattrocento Sans"/>
      <b val="1"/>
      <color rgb="FFFFFFFF"/>
      <sz val="10"/>
    </font>
    <font>
      <name val="Quattrocento Sans"/>
      <b val="1"/>
      <color rgb="FF004C97"/>
      <sz val="10"/>
      <u val="single"/>
    </font>
    <font>
      <name val="Quattrocento Sans"/>
      <b val="1"/>
      <color rgb="FFFFFFFF"/>
      <sz val="10"/>
      <u val="single"/>
    </font>
    <font>
      <name val="Quattrocento Sans"/>
      <b val="1"/>
      <color rgb="FFFFFFFF"/>
      <sz val="9"/>
    </font>
    <font>
      <name val="Quattrocento Sans"/>
      <b val="1"/>
      <color rgb="FF1B365D"/>
      <sz val="9"/>
    </font>
    <font/>
    <font>
      <name val="Quattrocento Sans"/>
      <color rgb="FF1A1A1A"/>
      <sz val="9"/>
    </font>
    <font>
      <name val="Quattrocento Sans"/>
      <b val="1"/>
      <color rgb="FF002060"/>
      <sz val="8"/>
    </font>
    <font>
      <name val="Quattrocento Sans"/>
      <i val="1"/>
      <color rgb="FF1B365D"/>
      <sz val="9"/>
    </font>
    <font>
      <name val="Quattrocento Sans"/>
      <color rgb="FF555555"/>
      <sz val="8"/>
    </font>
    <font>
      <name val="Quattrocento Sans"/>
      <b val="1"/>
      <color rgb="FF004C97"/>
      <sz val="10"/>
      <u val="single"/>
    </font>
    <font>
      <name val="Quattrocento Sans"/>
      <b val="1"/>
      <color rgb="FF002060"/>
      <sz val="10"/>
    </font>
    <font>
      <name val="Quattrocento Sans"/>
      <b val="1"/>
      <color rgb="FF0000FF"/>
      <sz val="9"/>
      <u val="single"/>
    </font>
    <font>
      <name val="Quattrocento Sans"/>
      <b val="1"/>
      <color rgb="FF1B365D"/>
      <sz val="11"/>
    </font>
    <font>
      <name val="Quattrocento Sans"/>
      <b val="1"/>
      <color rgb="FFFFFFFF"/>
      <sz val="11"/>
    </font>
    <font>
      <name val="Quattrocento Sans"/>
      <b val="1"/>
      <color rgb="FF000000"/>
      <sz val="10"/>
    </font>
    <font>
      <name val="Quattrocento Sans"/>
      <b val="1"/>
      <color rgb="FF004C97"/>
      <sz val="10"/>
      <u val="single"/>
    </font>
    <font>
      <name val="Quattrocento Sans"/>
      <b val="1"/>
      <color rgb="FF1B365D"/>
      <sz val="12"/>
    </font>
    <font>
      <name val="Quattrocento Sans"/>
      <i val="1"/>
      <color rgb="FF555555"/>
      <sz val="9"/>
    </font>
    <font>
      <name val="Quattrocento Sans"/>
      <b val="1"/>
      <color rgb="FF975A16"/>
      <sz val="12"/>
    </font>
    <font>
      <name val="Quattrocento Sans"/>
      <b val="1"/>
      <color rgb="FF1A1A1A"/>
      <sz val="9"/>
    </font>
    <font>
      <name val="Calibri"/>
      <color theme="1"/>
      <sz val="11"/>
    </font>
    <font>
      <name val="Quattrocento Sans"/>
      <b val="1"/>
      <color rgb="FF002060"/>
      <sz val="11"/>
    </font>
    <font>
      <name val="Quattrocento Sans"/>
      <b val="1"/>
      <color rgb="FF22543D"/>
      <sz val="12"/>
    </font>
    <font>
      <name val="Quattrocento Sans"/>
      <b val="1"/>
      <color rgb="FF742A2A"/>
      <sz val="12"/>
    </font>
    <font>
      <name val="Quattrocento Sans"/>
      <color rgb="FF000000"/>
      <sz val="10"/>
    </font>
    <font>
      <name val="Quattrocento Sans"/>
      <b val="1"/>
      <color rgb="FF4A5568"/>
      <sz val="12"/>
    </font>
    <font>
      <name val="Quattrocento Sans"/>
      <b val="1"/>
      <color rgb="FF1B365D"/>
      <sz val="10"/>
    </font>
    <font>
      <name val="Quattrocento Sans"/>
      <b val="1"/>
      <color rgb="FFC05621"/>
      <sz val="12"/>
    </font>
    <font>
      <name val="Quattrocento Sans"/>
      <b val="1"/>
      <color rgb="FF22543D"/>
      <sz val="10"/>
    </font>
    <font>
      <name val="Quattrocento Sans"/>
      <b val="1"/>
      <color rgb="FF0000FF"/>
      <sz val="9"/>
      <u val="single"/>
    </font>
    <font>
      <name val="Quattrocento Sans"/>
      <b val="1"/>
      <color rgb="FF0000FF"/>
      <sz val="9"/>
      <u val="single"/>
    </font>
    <font>
      <name val="Quattrocento Sans"/>
      <b val="1"/>
      <color rgb="FF0000FF"/>
      <sz val="9"/>
      <u val="single"/>
    </font>
    <font>
      <name val="Quattrocento Sans"/>
      <color rgb="FF1B365D"/>
      <sz val="9"/>
    </font>
    <font>
      <name val="Quattrocento Sans"/>
      <b val="1"/>
      <color rgb="FFC00000"/>
      <sz val="8"/>
    </font>
    <font>
      <name val="Quattrocento Sans"/>
      <b val="1"/>
      <color rgb="FF742A2A"/>
      <sz val="9"/>
    </font>
    <font>
      <name val="Consolas"/>
      <color rgb="FF1B365D"/>
      <sz val="9"/>
    </font>
    <font>
      <name val="Quattrocento Sans"/>
      <b val="1"/>
      <color rgb="FF006600"/>
      <sz val="8"/>
    </font>
    <font>
      <name val="Quattrocento Sans"/>
      <b val="1"/>
      <color rgb="FF0000FF"/>
      <sz val="9"/>
      <u val="single"/>
    </font>
    <font>
      <name val="Quattrocento Sans"/>
      <i val="1"/>
      <color rgb="FF2B6CB0"/>
      <sz val="9"/>
    </font>
    <font>
      <name val="Quattrocento Sans"/>
      <b val="1"/>
      <color rgb="FF0000FF"/>
      <sz val="9"/>
      <u val="single"/>
    </font>
    <font>
      <name val="Quattrocento Sans"/>
      <b val="1"/>
      <color rgb="FF0000FF"/>
      <sz val="9"/>
      <u val="single"/>
    </font>
    <font>
      <name val="Calibri"/>
      <color theme="1"/>
      <scheme val="minor"/>
    </font>
    <font>
      <name val="Quattrocento Sans"/>
      <b val="1"/>
      <color rgb="FF0000FF"/>
      <sz val="9"/>
      <u val="single"/>
    </font>
    <font>
      <name val="Consolas"/>
      <b val="1"/>
      <color rgb="FF1B365D"/>
      <sz val="10"/>
    </font>
    <font>
      <name val="Quattrocento Sans"/>
      <b val="1"/>
      <color rgb="FF2C4D6F"/>
      <sz val="9"/>
    </font>
    <font>
      <name val="Quattrocento Sans"/>
      <b val="1"/>
      <color rgb="FF0000FF"/>
      <sz val="9"/>
      <u val="single"/>
    </font>
    <font>
      <name val="Quattrocento Sans"/>
      <i val="1"/>
      <color rgb="FF2D3748"/>
      <sz val="9"/>
    </font>
    <font>
      <name val="Quattrocento Sans"/>
      <b val="1"/>
      <color rgb="FF004C97"/>
      <sz val="10"/>
      <u val="single"/>
    </font>
    <font>
      <name val="Quattrocento Sans"/>
      <b val="1"/>
      <color rgb="FF22543D"/>
      <sz val="9"/>
    </font>
    <font>
      <name val="Quattrocento Sans"/>
      <b val="1"/>
      <color rgb="FF3A6073"/>
      <sz val="9"/>
    </font>
    <font>
      <name val="Quattrocento Sans"/>
      <color rgb="FF4A5568"/>
      <sz val="8"/>
    </font>
    <font>
      <name val="Quattrocento Sans"/>
      <b val="1"/>
      <color rgb="FF4A607A"/>
      <sz val="9"/>
    </font>
    <font>
      <name val="Consolas"/>
      <b val="1"/>
      <color rgb="FF2B6CB0"/>
      <sz val="9"/>
    </font>
    <font>
      <name val="Quattrocento Sans"/>
      <b val="1"/>
      <color rgb="001B365D"/>
      <sz val="14"/>
    </font>
    <font>
      <name val="Quattrocento Sans"/>
      <color rgb="000000EE"/>
      <sz val="9"/>
      <u val="single"/>
    </font>
    <font>
      <name val="Quattrocento Sans"/>
      <i val="1"/>
      <color rgb="00555555"/>
      <sz val="9"/>
    </font>
    <font>
      <name val="Quattrocento Sans"/>
      <b val="1"/>
      <color rgb="00FFFFFF"/>
      <sz val="10"/>
    </font>
    <font>
      <name val="Quattrocento Sans"/>
      <sz val="9"/>
    </font>
    <font>
      <name val="Quattrocento Sans"/>
      <b val="1"/>
      <sz val="10"/>
    </font>
    <font>
      <name val="Quattrocento Sans"/>
      <b val="1"/>
      <color rgb="001B365D"/>
      <sz val="11"/>
    </font>
    <font>
      <name val="Calibri"/>
      <b val="1"/>
      <color rgb="FF1B365D"/>
      <sz val="9"/>
    </font>
    <font>
      <name val="Calibri"/>
      <b val="1"/>
      <color rgb="FFFFFFFF"/>
      <sz val="9"/>
    </font>
    <font>
      <name val="Calibri"/>
      <i val="1"/>
      <color rgb="FF4A607A"/>
      <sz val="9"/>
    </font>
    <font>
      <name val="Calibri"/>
      <b val="1"/>
      <color rgb="FF002060"/>
      <sz val="9"/>
    </font>
    <font>
      <name val="Calibri"/>
      <i val="1"/>
      <color rgb="FF1B365D"/>
      <sz val="9"/>
    </font>
    <font>
      <name val="Calibri"/>
      <color rgb="FF555555"/>
      <sz val="9"/>
    </font>
    <font>
      <name val="Calibri"/>
      <b val="1"/>
      <color rgb="FFFFFFFF"/>
      <sz val="9"/>
      <u val="single"/>
    </font>
    <font>
      <name val="Calibri"/>
      <b val="1"/>
      <color rgb="FF000000"/>
      <sz val="9"/>
    </font>
    <font>
      <name val="Calibri"/>
      <i val="1"/>
      <color rgb="FF555555"/>
      <sz val="9"/>
    </font>
    <font>
      <name val="Calibri"/>
      <color theme="1"/>
      <sz val="9"/>
    </font>
    <font>
      <name val="Calibri"/>
      <b val="1"/>
      <color rgb="FF975A16"/>
      <sz val="9"/>
    </font>
    <font>
      <name val="Calibri"/>
      <b val="1"/>
      <color rgb="FF22543D"/>
      <sz val="9"/>
    </font>
    <font>
      <name val="Calibri"/>
      <b val="1"/>
      <color rgb="FF742A2A"/>
      <sz val="9"/>
    </font>
    <font>
      <name val="Calibri"/>
      <b val="1"/>
      <color rgb="FF4A5568"/>
      <sz val="9"/>
    </font>
    <font>
      <name val="Calibri"/>
      <b val="1"/>
      <color rgb="FFC05621"/>
      <sz val="9"/>
    </font>
    <font>
      <name val="Calibri"/>
      <b val="1"/>
      <color rgb="FF0000FF"/>
      <sz val="9"/>
      <u val="single"/>
    </font>
    <font>
      <name val="Calibri"/>
      <b val="1"/>
      <color rgb="FF1A1A1A"/>
      <sz val="9"/>
    </font>
    <font>
      <name val="Calibri"/>
      <color rgb="FF1B365D"/>
      <sz val="9"/>
    </font>
    <font>
      <name val="Calibri"/>
      <b val="1"/>
      <color rgb="FFC00000"/>
      <sz val="9"/>
    </font>
    <font>
      <name val="Calibri"/>
      <color rgb="FF1A1A1A"/>
      <sz val="9"/>
    </font>
    <font>
      <name val="Calibri"/>
      <b val="1"/>
      <color rgb="FF006600"/>
      <sz val="9"/>
    </font>
    <font>
      <name val="Calibri"/>
      <b val="1"/>
      <color rgb="FF2C4D6F"/>
      <sz val="9"/>
    </font>
    <font>
      <name val="Calibri"/>
      <i val="1"/>
      <color rgb="FF2D3748"/>
      <sz val="9"/>
    </font>
    <font>
      <name val="Calibri"/>
      <b val="1"/>
      <color rgb="FF004C97"/>
      <sz val="9"/>
      <u val="single"/>
    </font>
    <font>
      <name val="Calibri"/>
      <b val="1"/>
      <color rgb="FF3A6073"/>
      <sz val="9"/>
    </font>
    <font>
      <name val="Calibri"/>
      <color rgb="FF4A5568"/>
      <sz val="9"/>
    </font>
    <font>
      <name val="Calibri"/>
      <b val="1"/>
      <color rgb="FF4A607A"/>
      <sz val="9"/>
    </font>
    <font>
      <name val="Calibri"/>
      <b val="1"/>
      <color rgb="FF2B6CB0"/>
      <sz val="9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color rgb="000000EE"/>
      <sz val="9"/>
      <u val="single"/>
    </font>
    <font>
      <name val="Calibri"/>
      <b val="1"/>
      <color rgb="001B365D"/>
      <sz val="9"/>
    </font>
    <font>
      <name val="Calibri"/>
      <color rgb="FF000000"/>
      <sz val="9"/>
    </font>
    <font>
      <name val="Calibri"/>
      <i val="1"/>
      <color rgb="FF2B6CB0"/>
      <sz val="9"/>
    </font>
  </fonts>
  <fills count="17">
    <fill>
      <patternFill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335C8D"/>
        <bgColor rgb="FF335C8D"/>
      </patternFill>
    </fill>
    <fill>
      <patternFill patternType="solid">
        <fgColor rgb="FFF0F4F8"/>
        <bgColor rgb="FFF0F4F8"/>
      </patternFill>
    </fill>
    <fill>
      <patternFill patternType="solid">
        <fgColor rgb="FFD1E7DD"/>
        <bgColor rgb="FFD1E7DD"/>
      </patternFill>
    </fill>
    <fill>
      <patternFill patternType="solid">
        <fgColor rgb="FFFEF3D6"/>
        <bgColor rgb="FFFEF3D6"/>
      </patternFill>
    </fill>
    <fill>
      <patternFill patternType="solid">
        <fgColor rgb="FFFFF2CC"/>
        <bgColor rgb="FFFFF2CC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E9ECEF"/>
        <bgColor rgb="FFE9ECEF"/>
      </patternFill>
    </fill>
    <fill>
      <patternFill patternType="solid">
        <fgColor rgb="FFE6EEF8"/>
        <bgColor rgb="FFE6EEF8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</fills>
  <borders count="18">
    <border/>
    <border>
      <left/>
      <right/>
      <top/>
      <bottom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1B365D"/>
      </bottom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lef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/>
      <top/>
      <bottom/>
    </border>
    <border>
      <left style="medium">
        <color rgb="FFB7791F"/>
      </left>
      <right style="medium">
        <color rgb="FFB7791F"/>
      </right>
      <top style="medium">
        <color rgb="FFB7791F"/>
      </top>
      <bottom style="medium">
        <color rgb="FFB7791F"/>
      </bottom>
    </border>
    <border>
      <top/>
      <bottom/>
    </border>
    <border>
      <left style="thin">
        <color rgb="FFCBD5E0"/>
      </left>
      <top style="thin">
        <color rgb="FFCBD5E0"/>
      </top>
      <bottom style="thin">
        <color rgb="FFCBD5E0"/>
      </bottom>
    </border>
    <border>
      <right style="thin">
        <color rgb="FFCBD5E0"/>
      </right>
      <top style="thin">
        <color rgb="FFCBD5E0"/>
      </top>
      <bottom style="thin">
        <color rgb="FFCBD5E0"/>
      </bottom>
    </border>
    <border>
      <top style="thin">
        <color rgb="FFCBD5E0"/>
      </top>
      <bottom style="thin">
        <color rgb="FFCBD5E0"/>
      </bottom>
    </border>
    <border>
      <left style="thin">
        <color rgb="FFCBD5E0"/>
      </left>
      <top style="thin">
        <color rgb="FFCBD5E0"/>
      </top>
      <bottom style="medium">
        <color rgb="FF1B365D"/>
      </bottom>
    </border>
    <border>
      <top style="thin">
        <color rgb="FFCBD5E0"/>
      </top>
      <bottom style="medium">
        <color rgb="FF1B365D"/>
      </bottom>
    </border>
    <border>
      <right style="thin">
        <color rgb="FFCBD5E0"/>
      </right>
      <top style="thin">
        <color rgb="FFCBD5E0"/>
      </top>
      <bottom style="medium">
        <color rgb="FF1B365D"/>
      </bottom>
    </border>
    <border>
      <top style="thin">
        <color rgb="FFCBD5E0"/>
      </top>
    </border>
    <border>
      <right style="thin">
        <color rgb="FFCBD5E0"/>
      </right>
      <top style="thin">
        <color rgb="FFCBD5E0"/>
      </top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6" fillId="2" borderId="4" pivotButton="0" quotePrefix="0" xfId="0"/>
    <xf numFmtId="0" fontId="7" fillId="0" borderId="5" applyAlignment="1" pivotButton="0" quotePrefix="0" xfId="0">
      <alignment horizontal="center" vertical="center"/>
    </xf>
    <xf numFmtId="0" fontId="8" fillId="0" borderId="6" pivotButton="0" quotePrefix="0" xfId="0"/>
    <xf numFmtId="0" fontId="9" fillId="0" borderId="5" applyAlignment="1" pivotButton="0" quotePrefix="0" xfId="0">
      <alignment horizontal="left" vertical="center"/>
    </xf>
    <xf numFmtId="0" fontId="9" fillId="0" borderId="5" applyAlignment="1" pivotButton="0" quotePrefix="0" xfId="0">
      <alignment horizontal="center" vertical="center"/>
    </xf>
    <xf numFmtId="0" fontId="10" fillId="4" borderId="4" pivotButton="0" quotePrefix="0" xfId="0"/>
    <xf numFmtId="0" fontId="9" fillId="5" borderId="5" applyAlignment="1" pivotButton="0" quotePrefix="0" xfId="0">
      <alignment horizontal="center" vertical="center"/>
    </xf>
    <xf numFmtId="0" fontId="11" fillId="0" borderId="0" pivotButton="0" quotePrefix="0" xfId="0"/>
    <xf numFmtId="0" fontId="12" fillId="4" borderId="4" pivotButton="0" quotePrefix="0" xfId="0"/>
    <xf numFmtId="0" fontId="13" fillId="0" borderId="3" applyAlignment="1" pivotButton="0" quotePrefix="0" xfId="0">
      <alignment horizontal="center" vertical="center" wrapText="1"/>
    </xf>
    <xf numFmtId="0" fontId="7" fillId="0" borderId="0" pivotButton="0" quotePrefix="0" xfId="0"/>
    <xf numFmtId="0" fontId="9" fillId="6" borderId="5" applyAlignment="1" pivotButton="0" quotePrefix="0" xfId="0">
      <alignment horizontal="center" vertical="center"/>
    </xf>
    <xf numFmtId="0" fontId="14" fillId="7" borderId="7" applyAlignment="1" pivotButton="0" quotePrefix="0" xfId="0">
      <alignment horizontal="center" vertical="center" wrapText="1"/>
    </xf>
    <xf numFmtId="0" fontId="7" fillId="4" borderId="3" pivotButton="0" quotePrefix="0" xfId="0"/>
    <xf numFmtId="0" fontId="14" fillId="4" borderId="3" applyAlignment="1" pivotButton="0" quotePrefix="0" xfId="0">
      <alignment horizontal="center" vertical="center" wrapText="1"/>
    </xf>
    <xf numFmtId="0" fontId="15" fillId="4" borderId="3" pivotButton="0" quotePrefix="0" xfId="0"/>
    <xf numFmtId="0" fontId="16" fillId="4" borderId="3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left" vertical="center" wrapText="1"/>
    </xf>
    <xf numFmtId="0" fontId="18" fillId="4" borderId="3" pivotButton="0" quotePrefix="0" xfId="0"/>
    <xf numFmtId="0" fontId="8" fillId="0" borderId="8" pivotButton="0" quotePrefix="0" xfId="0"/>
    <xf numFmtId="0" fontId="19" fillId="4" borderId="3" applyAlignment="1" pivotButton="0" quotePrefix="0" xfId="0">
      <alignment horizontal="center" vertical="center" wrapText="1"/>
    </xf>
    <xf numFmtId="0" fontId="20" fillId="4" borderId="3" applyAlignment="1" pivotButton="0" quotePrefix="0" xfId="0">
      <alignment horizontal="center" vertical="center" wrapText="1"/>
    </xf>
    <xf numFmtId="0" fontId="21" fillId="4" borderId="9" pivotButton="0" quotePrefix="0" xfId="0"/>
    <xf numFmtId="0" fontId="8" fillId="0" borderId="10" pivotButton="0" quotePrefix="0" xfId="0"/>
    <xf numFmtId="0" fontId="18" fillId="8" borderId="3" pivotButton="0" quotePrefix="0" xfId="0"/>
    <xf numFmtId="0" fontId="22" fillId="8" borderId="3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17" fillId="2" borderId="0" applyAlignment="1" pivotButton="0" quotePrefix="0" xfId="0">
      <alignment horizontal="left" vertical="center" wrapText="1"/>
    </xf>
    <xf numFmtId="0" fontId="18" fillId="9" borderId="3" pivotButton="0" quotePrefix="0" xfId="0"/>
    <xf numFmtId="0" fontId="25" fillId="0" borderId="0" pivotButton="0" quotePrefix="0" xfId="0"/>
    <xf numFmtId="0" fontId="26" fillId="9" borderId="3" applyAlignment="1" pivotButton="0" quotePrefix="0" xfId="0">
      <alignment horizontal="center" vertical="center" wrapText="1"/>
    </xf>
    <xf numFmtId="0" fontId="18" fillId="10" borderId="3" pivotButton="0" quotePrefix="0" xfId="0"/>
    <xf numFmtId="0" fontId="9" fillId="0" borderId="0" pivotButton="0" quotePrefix="0" xfId="0"/>
    <xf numFmtId="0" fontId="27" fillId="10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28" fillId="0" borderId="0" pivotButton="0" quotePrefix="0" xfId="0"/>
    <xf numFmtId="0" fontId="17" fillId="2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18" fillId="11" borderId="3" pivotButton="0" quotePrefix="0" xfId="0"/>
    <xf numFmtId="0" fontId="29" fillId="11" borderId="3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4" borderId="3" applyAlignment="1" pivotButton="0" quotePrefix="0" xfId="0">
      <alignment horizontal="center" vertical="center" wrapText="1"/>
    </xf>
    <xf numFmtId="0" fontId="32" fillId="9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2" borderId="0" pivotButton="0" quotePrefix="0" xfId="0"/>
    <xf numFmtId="0" fontId="7" fillId="12" borderId="3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7" fillId="12" borderId="3" pivotButton="0" quotePrefix="0" xfId="0"/>
    <xf numFmtId="0" fontId="14" fillId="7" borderId="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3" fillId="12" borderId="3" applyAlignment="1" pivotButton="0" quotePrefix="0" xfId="0">
      <alignment horizontal="center" vertical="center" wrapText="1"/>
    </xf>
    <xf numFmtId="0" fontId="34" fillId="13" borderId="9" applyAlignment="1" pivotButton="0" quotePrefix="0" xfId="0">
      <alignment horizontal="center" vertical="center" wrapText="1"/>
    </xf>
    <xf numFmtId="0" fontId="8" fillId="0" borderId="11" pivotButton="0" quotePrefix="0" xfId="0"/>
    <xf numFmtId="0" fontId="7" fillId="12" borderId="1" pivotButton="0" quotePrefix="0" xfId="0"/>
    <xf numFmtId="0" fontId="14" fillId="7" borderId="1" pivotButton="0" quotePrefix="0" xfId="0"/>
    <xf numFmtId="0" fontId="35" fillId="12" borderId="1" pivotButton="0" quotePrefix="0" xfId="0"/>
    <xf numFmtId="0" fontId="36" fillId="4" borderId="12" applyAlignment="1" pivotButton="0" quotePrefix="0" xfId="0">
      <alignment horizontal="left" vertical="center" wrapText="1"/>
    </xf>
    <xf numFmtId="0" fontId="8" fillId="0" borderId="13" pivotButton="0" quotePrefix="0" xfId="0"/>
    <xf numFmtId="0" fontId="8" fillId="0" borderId="14" pivotButton="0" quotePrefix="0" xfId="0"/>
    <xf numFmtId="0" fontId="37" fillId="14" borderId="4" pivotButton="0" quotePrefix="0" xfId="0"/>
    <xf numFmtId="0" fontId="7" fillId="4" borderId="4" applyAlignment="1" pivotButton="0" quotePrefix="0" xfId="0">
      <alignment horizontal="left" vertical="center" wrapText="1"/>
    </xf>
    <xf numFmtId="0" fontId="38" fillId="10" borderId="9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/>
    </xf>
    <xf numFmtId="0" fontId="14" fillId="0" borderId="3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/>
    </xf>
    <xf numFmtId="0" fontId="9" fillId="0" borderId="3" pivotButton="0" quotePrefix="0" xfId="0"/>
    <xf numFmtId="0" fontId="23" fillId="0" borderId="3" pivotButton="0" quotePrefix="0" xfId="0"/>
    <xf numFmtId="0" fontId="9" fillId="0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center" wrapText="1"/>
    </xf>
    <xf numFmtId="0" fontId="39" fillId="0" borderId="3" applyAlignment="1" pivotButton="0" quotePrefix="0" xfId="0">
      <alignment horizontal="left" vertical="center" wrapText="1"/>
    </xf>
    <xf numFmtId="0" fontId="40" fillId="0" borderId="3" applyAlignment="1" pivotButton="0" quotePrefix="0" xfId="0">
      <alignment horizontal="center" vertical="center" wrapText="1"/>
    </xf>
    <xf numFmtId="0" fontId="41" fillId="0" borderId="3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7" fillId="14" borderId="0" applyAlignment="1" pivotButton="0" quotePrefix="0" xfId="0">
      <alignment horizontal="center" vertical="center" wrapText="1"/>
    </xf>
    <xf numFmtId="0" fontId="44" fillId="14" borderId="0" pivotButton="0" quotePrefix="0" xfId="0"/>
    <xf numFmtId="0" fontId="18" fillId="0" borderId="3" applyAlignment="1" pivotButton="0" quotePrefix="0" xfId="0">
      <alignment horizontal="center" vertical="center" wrapText="1"/>
    </xf>
    <xf numFmtId="0" fontId="28" fillId="0" borderId="3" pivotButton="0" quotePrefix="0" xfId="0"/>
    <xf numFmtId="0" fontId="18" fillId="9" borderId="3" applyAlignment="1" pivotButton="0" quotePrefix="0" xfId="0">
      <alignment horizontal="center" vertical="center" wrapText="1"/>
    </xf>
    <xf numFmtId="0" fontId="18" fillId="11" borderId="3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/>
    </xf>
    <xf numFmtId="0" fontId="45" fillId="0" borderId="0" pivotButton="0" quotePrefix="0" xfId="0"/>
    <xf numFmtId="0" fontId="14" fillId="0" borderId="0" pivotButton="0" quotePrefix="0" xfId="0"/>
    <xf numFmtId="0" fontId="40" fillId="0" borderId="0" pivotButton="0" quotePrefix="0" xfId="0"/>
    <xf numFmtId="0" fontId="14" fillId="2" borderId="0" applyAlignment="1" pivotButton="0" quotePrefix="0" xfId="0">
      <alignment horizontal="left" vertical="center" wrapText="1"/>
    </xf>
    <xf numFmtId="0" fontId="36" fillId="4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center" vertical="center" wrapText="1"/>
    </xf>
    <xf numFmtId="0" fontId="30" fillId="12" borderId="0" pivotButton="0" quotePrefix="0" xfId="0"/>
    <xf numFmtId="0" fontId="46" fillId="12" borderId="0" pivotButton="0" quotePrefix="0" xfId="0"/>
    <xf numFmtId="0" fontId="47" fillId="0" borderId="0" applyAlignment="1" pivotButton="0" quotePrefix="0" xfId="0">
      <alignment horizontal="center" vertical="center" wrapText="1"/>
    </xf>
    <xf numFmtId="0" fontId="48" fillId="0" borderId="0" pivotButton="0" quotePrefix="0" xfId="0"/>
    <xf numFmtId="0" fontId="30" fillId="16" borderId="0" applyAlignment="1" pivotButton="0" quotePrefix="0" xfId="0">
      <alignment horizontal="center" vertical="center" wrapText="1"/>
    </xf>
    <xf numFmtId="0" fontId="14" fillId="16" borderId="0" pivotButton="0" quotePrefix="0" xfId="0"/>
    <xf numFmtId="0" fontId="23" fillId="16" borderId="0" pivotButton="0" quotePrefix="0" xfId="0"/>
    <xf numFmtId="0" fontId="9" fillId="16" borderId="0" pivotButton="0" quotePrefix="0" xfId="0"/>
    <xf numFmtId="0" fontId="49" fillId="16" borderId="0" pivotButton="0" quotePrefix="0" xfId="0"/>
    <xf numFmtId="0" fontId="50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 wrapText="1"/>
    </xf>
    <xf numFmtId="0" fontId="53" fillId="0" borderId="0" pivotButton="0" quotePrefix="0" xfId="0"/>
    <xf numFmtId="0" fontId="54" fillId="0" borderId="0" applyAlignment="1" pivotButton="0" quotePrefix="0" xfId="0">
      <alignment horizontal="left" vertical="center" wrapText="1"/>
    </xf>
    <xf numFmtId="0" fontId="30" fillId="16" borderId="0" pivotButton="0" quotePrefix="0" xfId="0"/>
    <xf numFmtId="0" fontId="14" fillId="16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3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17" fillId="0" borderId="0" pivotButton="0" quotePrefix="0" xfId="0"/>
    <xf numFmtId="0" fontId="36" fillId="0" borderId="0" pivotButton="0" quotePrefix="0" xfId="0"/>
    <xf numFmtId="0" fontId="7" fillId="12" borderId="0" pivotButton="0" quotePrefix="0" xfId="0"/>
    <xf numFmtId="0" fontId="14" fillId="7" borderId="0" pivotButton="0" quotePrefix="0" xfId="0"/>
    <xf numFmtId="0" fontId="23" fillId="12" borderId="0" pivotButton="0" quotePrefix="0" xfId="0"/>
    <xf numFmtId="0" fontId="36" fillId="4" borderId="0" pivotButton="0" quotePrefix="0" xfId="0"/>
    <xf numFmtId="0" fontId="23" fillId="13" borderId="0" pivotButton="0" quotePrefix="0" xfId="0"/>
    <xf numFmtId="0" fontId="0" fillId="0" borderId="0" pivotButton="0" quotePrefix="0" xfId="0"/>
    <xf numFmtId="0" fontId="6" fillId="2" borderId="1" pivotButton="0" quotePrefix="0" xfId="0"/>
    <xf numFmtId="0" fontId="10" fillId="4" borderId="1" pivotButton="0" quotePrefix="0" xfId="0"/>
    <xf numFmtId="0" fontId="12" fillId="4" borderId="1" pivotButton="0" quotePrefix="0" xfId="0"/>
    <xf numFmtId="0" fontId="17" fillId="2" borderId="1" applyAlignment="1" pivotButton="0" quotePrefix="0" xfId="0">
      <alignment horizontal="left" vertical="center" wrapText="1"/>
    </xf>
    <xf numFmtId="0" fontId="21" fillId="4" borderId="3" pivotButton="0" quotePrefix="0" xfId="0"/>
    <xf numFmtId="0" fontId="0" fillId="0" borderId="10" pivotButton="0" quotePrefix="0" xfId="0"/>
    <xf numFmtId="0" fontId="34" fillId="13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36" fillId="4" borderId="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37" fillId="14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38" fillId="10" borderId="3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2" fontId="28" fillId="0" borderId="3" applyAlignment="1" pivotButton="0" quotePrefix="0" xfId="0">
      <alignment horizontal="right" vertical="center"/>
    </xf>
    <xf numFmtId="0" fontId="28" fillId="0" borderId="3" applyAlignment="1" pivotButton="0" quotePrefix="0" xfId="0">
      <alignment horizontal="left" vertical="center" wrapText="1"/>
    </xf>
    <xf numFmtId="0" fontId="59" fillId="0" borderId="0" pivotButton="0" quotePrefix="0" xfId="0"/>
    <xf numFmtId="0" fontId="60" fillId="2" borderId="2" applyAlignment="1" pivotButton="0" quotePrefix="0" xfId="0">
      <alignment horizontal="center" vertical="center"/>
    </xf>
    <xf numFmtId="0" fontId="62" fillId="0" borderId="17" applyAlignment="1" pivotButton="0" quotePrefix="0" xfId="0">
      <alignment horizontal="center" vertical="center"/>
    </xf>
    <xf numFmtId="0" fontId="61" fillId="0" borderId="17" applyAlignment="1" pivotButton="0" quotePrefix="0" xfId="0">
      <alignment horizontal="left" vertical="center"/>
    </xf>
    <xf numFmtId="0" fontId="58" fillId="0" borderId="17" applyAlignment="1" pivotButton="0" quotePrefix="0" xfId="0">
      <alignment horizontal="left" vertical="center"/>
    </xf>
    <xf numFmtId="0" fontId="63" fillId="0" borderId="5" applyAlignment="1" pivotButton="0" quotePrefix="0" xfId="0">
      <alignment horizontal="center" vertical="center"/>
    </xf>
    <xf numFmtId="0" fontId="60" fillId="2" borderId="5" applyAlignment="1" pivotButton="0" quotePrefix="0" xfId="0">
      <alignment horizontal="center" vertical="center"/>
    </xf>
    <xf numFmtId="0" fontId="61" fillId="0" borderId="17" applyAlignment="1" pivotButton="0" quotePrefix="0" xfId="0">
      <alignment horizontal="center" vertical="center"/>
    </xf>
    <xf numFmtId="2" fontId="61" fillId="0" borderId="17" applyAlignment="1" pivotButton="0" quotePrefix="0" xfId="0">
      <alignment horizontal="center" vertical="center"/>
    </xf>
    <xf numFmtId="0" fontId="61" fillId="0" borderId="17" pivotButton="0" quotePrefix="0" xfId="0"/>
    <xf numFmtId="2" fontId="61" fillId="0" borderId="17" pivotButton="0" quotePrefix="0" xfId="0"/>
    <xf numFmtId="0" fontId="58" fillId="0" borderId="17" pivotButton="0" quotePrefix="0" xfId="0"/>
    <xf numFmtId="0" fontId="57" fillId="0" borderId="0" pivotButton="0" quotePrefix="0" xfId="0"/>
    <xf numFmtId="0" fontId="58" fillId="0" borderId="0" pivotButton="0" quotePrefix="0" xfId="0"/>
    <xf numFmtId="0" fontId="60" fillId="2" borderId="0" applyAlignment="1" pivotButton="0" quotePrefix="0" xfId="0">
      <alignment horizontal="center" vertical="center"/>
    </xf>
    <xf numFmtId="2" fontId="61" fillId="5" borderId="17" applyAlignment="1" pivotButton="0" quotePrefix="0" xfId="0">
      <alignment horizontal="center" vertical="center"/>
    </xf>
    <xf numFmtId="2" fontId="61" fillId="6" borderId="17" applyAlignment="1" pivotButton="0" quotePrefix="0" xfId="0">
      <alignment horizontal="center" vertical="center"/>
    </xf>
    <xf numFmtId="2" fontId="61" fillId="0" borderId="17" applyAlignment="1" pivotButton="0" quotePrefix="0" xfId="0">
      <alignment horizontal="left" vertical="center"/>
    </xf>
    <xf numFmtId="0" fontId="61" fillId="6" borderId="17" applyAlignment="1" pivotButton="0" quotePrefix="0" xfId="0">
      <alignment horizontal="center" vertical="center"/>
    </xf>
    <xf numFmtId="0" fontId="58" fillId="0" borderId="17" applyAlignment="1" pivotButton="0" quotePrefix="0" xfId="0">
      <alignment horizontal="center" vertical="center"/>
    </xf>
    <xf numFmtId="0" fontId="61" fillId="0" borderId="17" applyAlignment="1" pivotButton="0" quotePrefix="0" xfId="0">
      <alignment horizontal="center" vertical="center" wrapText="1"/>
    </xf>
    <xf numFmtId="0" fontId="61" fillId="0" borderId="17" applyAlignment="1" pivotButton="0" quotePrefix="0" xfId="0">
      <alignment horizontal="left" vertical="center" wrapText="1"/>
    </xf>
    <xf numFmtId="0" fontId="61" fillId="9" borderId="17" applyAlignment="1" pivotButton="0" quotePrefix="0" xfId="0">
      <alignment horizontal="center" vertical="center" wrapText="1"/>
    </xf>
    <xf numFmtId="0" fontId="61" fillId="11" borderId="17" applyAlignment="1" pivotButton="0" quotePrefix="0" xfId="0">
      <alignment horizontal="center" vertical="center" wrapText="1"/>
    </xf>
    <xf numFmtId="0" fontId="64" fillId="0" borderId="0" pivotButton="0" quotePrefix="0" xfId="0"/>
    <xf numFmtId="0" fontId="65" fillId="2" borderId="1" pivotButton="0" quotePrefix="0" xfId="0"/>
    <xf numFmtId="0" fontId="66" fillId="0" borderId="0" pivotButton="0" quotePrefix="0" xfId="0"/>
    <xf numFmtId="0" fontId="67" fillId="4" borderId="1" pivotButton="0" quotePrefix="0" xfId="0"/>
    <xf numFmtId="0" fontId="68" fillId="0" borderId="0" pivotButton="0" quotePrefix="0" xfId="0"/>
    <xf numFmtId="0" fontId="69" fillId="4" borderId="1" pivotButton="0" quotePrefix="0" xfId="0"/>
    <xf numFmtId="0" fontId="65" fillId="2" borderId="1" applyAlignment="1" pivotButton="0" quotePrefix="0" xfId="0">
      <alignment horizontal="center" vertical="center" wrapText="1"/>
    </xf>
    <xf numFmtId="0" fontId="70" fillId="3" borderId="3" applyAlignment="1" pivotButton="0" quotePrefix="0" xfId="0">
      <alignment horizontal="center" vertical="center" wrapText="1"/>
    </xf>
    <xf numFmtId="0" fontId="65" fillId="2" borderId="1" applyAlignment="1" pivotButton="0" quotePrefix="0" xfId="0">
      <alignment horizontal="left" vertical="center" wrapText="1"/>
    </xf>
    <xf numFmtId="0" fontId="71" fillId="4" borderId="3" pivotButton="0" quotePrefix="0" xfId="0"/>
    <xf numFmtId="0" fontId="64" fillId="4" borderId="3" applyAlignment="1" pivotButton="0" quotePrefix="0" xfId="0">
      <alignment horizontal="center" vertical="center" wrapText="1"/>
    </xf>
    <xf numFmtId="0" fontId="72" fillId="4" borderId="3" pivotButton="0" quotePrefix="0" xfId="0"/>
    <xf numFmtId="0" fontId="73" fillId="0" borderId="10" pivotButton="0" quotePrefix="0" xfId="0"/>
    <xf numFmtId="0" fontId="71" fillId="8" borderId="3" pivotButton="0" quotePrefix="0" xfId="0"/>
    <xf numFmtId="0" fontId="74" fillId="8" borderId="3" applyAlignment="1" pivotButton="0" quotePrefix="0" xfId="0">
      <alignment horizontal="center" vertical="center" wrapText="1"/>
    </xf>
    <xf numFmtId="0" fontId="71" fillId="9" borderId="3" pivotButton="0" quotePrefix="0" xfId="0"/>
    <xf numFmtId="0" fontId="75" fillId="9" borderId="3" applyAlignment="1" pivotButton="0" quotePrefix="0" xfId="0">
      <alignment horizontal="center" vertical="center" wrapText="1"/>
    </xf>
    <xf numFmtId="0" fontId="71" fillId="10" borderId="3" pivotButton="0" quotePrefix="0" xfId="0"/>
    <xf numFmtId="0" fontId="76" fillId="10" borderId="3" applyAlignment="1" pivotButton="0" quotePrefix="0" xfId="0">
      <alignment horizontal="center" vertical="center" wrapText="1"/>
    </xf>
    <xf numFmtId="0" fontId="71" fillId="11" borderId="3" pivotButton="0" quotePrefix="0" xfId="0"/>
    <xf numFmtId="0" fontId="77" fillId="11" borderId="3" applyAlignment="1" pivotButton="0" quotePrefix="0" xfId="0">
      <alignment horizontal="center" vertical="center" wrapText="1"/>
    </xf>
    <xf numFmtId="0" fontId="78" fillId="4" borderId="3" applyAlignment="1" pivotButton="0" quotePrefix="0" xfId="0">
      <alignment horizontal="center" vertical="center" wrapText="1"/>
    </xf>
    <xf numFmtId="0" fontId="64" fillId="12" borderId="3" applyAlignment="1" pivotButton="0" quotePrefix="0" xfId="0">
      <alignment horizontal="center" vertical="center" wrapText="1"/>
    </xf>
    <xf numFmtId="0" fontId="64" fillId="12" borderId="3" pivotButton="0" quotePrefix="0" xfId="0"/>
    <xf numFmtId="0" fontId="67" fillId="7" borderId="7" applyAlignment="1" pivotButton="0" quotePrefix="0" xfId="0">
      <alignment horizontal="center" vertical="center" wrapText="1"/>
    </xf>
    <xf numFmtId="0" fontId="79" fillId="12" borderId="3" applyAlignment="1" pivotButton="0" quotePrefix="0" xfId="0">
      <alignment horizontal="center" vertical="center" wrapText="1"/>
    </xf>
    <xf numFmtId="0" fontId="79" fillId="13" borderId="3" applyAlignment="1" pivotButton="0" quotePrefix="0" xfId="0">
      <alignment horizontal="center" vertical="center" wrapText="1"/>
    </xf>
    <xf numFmtId="0" fontId="73" fillId="0" borderId="11" pivotButton="0" quotePrefix="0" xfId="0"/>
    <xf numFmtId="0" fontId="64" fillId="12" borderId="1" pivotButton="0" quotePrefix="0" xfId="0"/>
    <xf numFmtId="0" fontId="67" fillId="7" borderId="1" pivotButton="0" quotePrefix="0" xfId="0"/>
    <xf numFmtId="0" fontId="79" fillId="12" borderId="1" pivotButton="0" quotePrefix="0" xfId="0"/>
    <xf numFmtId="0" fontId="80" fillId="0" borderId="0" pivotButton="0" quotePrefix="0" xfId="0"/>
    <xf numFmtId="0" fontId="81" fillId="4" borderId="2" applyAlignment="1" pivotButton="0" quotePrefix="0" xfId="0">
      <alignment horizontal="left" vertical="center" wrapText="1"/>
    </xf>
    <xf numFmtId="0" fontId="73" fillId="0" borderId="13" pivotButton="0" quotePrefix="0" xfId="0"/>
    <xf numFmtId="0" fontId="73" fillId="0" borderId="14" pivotButton="0" quotePrefix="0" xfId="0"/>
    <xf numFmtId="0" fontId="82" fillId="14" borderId="1" pivotButton="0" quotePrefix="0" xfId="0"/>
    <xf numFmtId="0" fontId="64" fillId="4" borderId="1" applyAlignment="1" pivotButton="0" quotePrefix="0" xfId="0">
      <alignment horizontal="left" vertical="center" wrapText="1"/>
    </xf>
    <xf numFmtId="0" fontId="65" fillId="2" borderId="2" applyAlignment="1" pivotButton="0" quotePrefix="0" xfId="0">
      <alignment horizontal="center" vertical="center" wrapText="1"/>
    </xf>
    <xf numFmtId="0" fontId="67" fillId="0" borderId="3" applyAlignment="1" pivotButton="0" quotePrefix="0" xfId="0">
      <alignment horizontal="center" vertical="center" wrapText="1"/>
    </xf>
    <xf numFmtId="0" fontId="83" fillId="0" borderId="3" pivotButton="0" quotePrefix="0" xfId="0"/>
    <xf numFmtId="0" fontId="80" fillId="0" borderId="3" pivotButton="0" quotePrefix="0" xfId="0"/>
    <xf numFmtId="0" fontId="83" fillId="0" borderId="3" applyAlignment="1" pivotButton="0" quotePrefix="0" xfId="0">
      <alignment horizontal="center" vertical="center" wrapText="1"/>
    </xf>
    <xf numFmtId="0" fontId="84" fillId="0" borderId="3" applyAlignment="1" pivotButton="0" quotePrefix="0" xfId="0">
      <alignment horizontal="center" vertical="center" wrapText="1"/>
    </xf>
    <xf numFmtId="0" fontId="79" fillId="0" borderId="3" applyAlignment="1" pivotButton="0" quotePrefix="0" xfId="0">
      <alignment horizontal="center" vertical="center" wrapText="1"/>
    </xf>
    <xf numFmtId="0" fontId="67" fillId="0" borderId="0" pivotButton="0" quotePrefix="0" xfId="0"/>
    <xf numFmtId="0" fontId="83" fillId="0" borderId="0" pivotButton="0" quotePrefix="0" xfId="0"/>
    <xf numFmtId="0" fontId="84" fillId="0" borderId="0" pivotButton="0" quotePrefix="0" xfId="0"/>
    <xf numFmtId="0" fontId="79" fillId="0" borderId="0" pivotButton="0" quotePrefix="0" xfId="0"/>
    <xf numFmtId="0" fontId="67" fillId="2" borderId="0" applyAlignment="1" pivotButton="0" quotePrefix="0" xfId="0">
      <alignment horizontal="left" vertical="center" wrapText="1"/>
    </xf>
    <xf numFmtId="0" fontId="81" fillId="4" borderId="0" applyAlignment="1" pivotButton="0" quotePrefix="0" xfId="0">
      <alignment horizontal="center" vertical="center" wrapText="1"/>
    </xf>
    <xf numFmtId="0" fontId="65" fillId="2" borderId="0" applyAlignment="1" pivotButton="0" quotePrefix="0" xfId="0">
      <alignment horizontal="center" vertical="center" wrapText="1"/>
    </xf>
    <xf numFmtId="0" fontId="81" fillId="4" borderId="0" applyAlignment="1" pivotButton="0" quotePrefix="0" xfId="0">
      <alignment horizontal="left" vertical="center" wrapText="1"/>
    </xf>
    <xf numFmtId="0" fontId="64" fillId="12" borderId="0" applyAlignment="1" pivotButton="0" quotePrefix="0" xfId="0">
      <alignment horizontal="center" vertical="center" wrapText="1"/>
    </xf>
    <xf numFmtId="0" fontId="64" fillId="12" borderId="0" pivotButton="0" quotePrefix="0" xfId="0"/>
    <xf numFmtId="0" fontId="79" fillId="12" borderId="0" pivotButton="0" quotePrefix="0" xfId="0"/>
    <xf numFmtId="0" fontId="64" fillId="0" borderId="0" applyAlignment="1" pivotButton="0" quotePrefix="0" xfId="0">
      <alignment horizontal="center" vertical="center" wrapText="1"/>
    </xf>
    <xf numFmtId="0" fontId="85" fillId="0" borderId="0" pivotButton="0" quotePrefix="0" xfId="0"/>
    <xf numFmtId="0" fontId="73" fillId="0" borderId="0" pivotButton="0" quotePrefix="0" xfId="0"/>
    <xf numFmtId="0" fontId="64" fillId="16" borderId="0" applyAlignment="1" pivotButton="0" quotePrefix="0" xfId="0">
      <alignment horizontal="center" vertical="center" wrapText="1"/>
    </xf>
    <xf numFmtId="0" fontId="67" fillId="16" borderId="0" pivotButton="0" quotePrefix="0" xfId="0"/>
    <xf numFmtId="0" fontId="80" fillId="16" borderId="0" pivotButton="0" quotePrefix="0" xfId="0"/>
    <xf numFmtId="0" fontId="83" fillId="16" borderId="0" pivotButton="0" quotePrefix="0" xfId="0"/>
    <xf numFmtId="0" fontId="79" fillId="16" borderId="0" pivotButton="0" quotePrefix="0" xfId="0"/>
    <xf numFmtId="0" fontId="86" fillId="0" borderId="0" applyAlignment="1" pivotButton="0" quotePrefix="0" xfId="0">
      <alignment horizontal="left" vertical="center" wrapText="1"/>
    </xf>
    <xf numFmtId="0" fontId="87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88" fillId="0" borderId="0" pivotButton="0" quotePrefix="0" xfId="0"/>
    <xf numFmtId="0" fontId="89" fillId="0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horizontal="left" vertical="center" wrapText="1"/>
    </xf>
    <xf numFmtId="0" fontId="64" fillId="16" borderId="0" pivotButton="0" quotePrefix="0" xfId="0"/>
    <xf numFmtId="0" fontId="67" fillId="16" borderId="0" applyAlignment="1" pivotButton="0" quotePrefix="0" xfId="0">
      <alignment horizontal="center" vertical="center" wrapText="1"/>
    </xf>
    <xf numFmtId="0" fontId="71" fillId="0" borderId="0" pivotButton="0" quotePrefix="0" xfId="0"/>
    <xf numFmtId="0" fontId="85" fillId="0" borderId="0" applyAlignment="1" pivotButton="0" quotePrefix="0" xfId="0">
      <alignment horizontal="left" vertical="center" wrapText="1"/>
    </xf>
    <xf numFmtId="0" fontId="83" fillId="0" borderId="0" applyAlignment="1" pivotButton="0" quotePrefix="0" xfId="0">
      <alignment horizontal="left" vertical="center" wrapText="1"/>
    </xf>
    <xf numFmtId="0" fontId="88" fillId="0" borderId="0" applyAlignment="1" pivotButton="0" quotePrefix="0" xfId="0">
      <alignment horizontal="left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65" fillId="0" borderId="0" pivotButton="0" quotePrefix="0" xfId="0"/>
    <xf numFmtId="0" fontId="81" fillId="0" borderId="0" pivotButton="0" quotePrefix="0" xfId="0"/>
    <xf numFmtId="0" fontId="65" fillId="2" borderId="0" pivotButton="0" quotePrefix="0" xfId="0"/>
    <xf numFmtId="0" fontId="67" fillId="7" borderId="0" pivotButton="0" quotePrefix="0" xfId="0"/>
    <xf numFmtId="0" fontId="80" fillId="12" borderId="0" pivotButton="0" quotePrefix="0" xfId="0"/>
    <xf numFmtId="0" fontId="79" fillId="14" borderId="0" pivotButton="0" quotePrefix="0" xfId="0"/>
    <xf numFmtId="0" fontId="81" fillId="4" borderId="0" pivotButton="0" quotePrefix="0" xfId="0"/>
    <xf numFmtId="0" fontId="80" fillId="13" borderId="0" pivotButton="0" quotePrefix="0" xfId="0"/>
    <xf numFmtId="0" fontId="87" fillId="0" borderId="0" pivotButton="0" quotePrefix="0" xfId="0"/>
    <xf numFmtId="0" fontId="92" fillId="0" borderId="0" pivotButton="0" quotePrefix="0" xfId="0"/>
    <xf numFmtId="0" fontId="93" fillId="2" borderId="2" applyAlignment="1" pivotButton="0" quotePrefix="0" xfId="0">
      <alignment horizontal="center" vertical="center"/>
    </xf>
    <xf numFmtId="0" fontId="94" fillId="0" borderId="17" applyAlignment="1" pivotButton="0" quotePrefix="0" xfId="0">
      <alignment horizontal="center" vertical="center"/>
    </xf>
    <xf numFmtId="0" fontId="95" fillId="0" borderId="17" applyAlignment="1" pivotButton="0" quotePrefix="0" xfId="0">
      <alignment horizontal="left" vertical="center"/>
    </xf>
    <xf numFmtId="0" fontId="96" fillId="0" borderId="17" applyAlignment="1" pivotButton="0" quotePrefix="0" xfId="0">
      <alignment horizontal="left" vertical="center"/>
    </xf>
    <xf numFmtId="0" fontId="83" fillId="0" borderId="5" applyAlignment="1" pivotButton="0" quotePrefix="0" xfId="0">
      <alignment horizontal="center" vertical="center"/>
    </xf>
    <xf numFmtId="0" fontId="83" fillId="0" borderId="5" applyAlignment="1" pivotButton="0" quotePrefix="0" xfId="0">
      <alignment horizontal="left" vertical="center"/>
    </xf>
    <xf numFmtId="0" fontId="64" fillId="0" borderId="5" applyAlignment="1" pivotButton="0" quotePrefix="0" xfId="0">
      <alignment horizontal="center" vertical="center"/>
    </xf>
    <xf numFmtId="0" fontId="97" fillId="0" borderId="5" applyAlignment="1" pivotButton="0" quotePrefix="0" xfId="0">
      <alignment horizontal="center" vertical="center"/>
    </xf>
    <xf numFmtId="0" fontId="93" fillId="2" borderId="5" applyAlignment="1" pivotButton="0" quotePrefix="0" xfId="0">
      <alignment horizontal="center" vertical="center"/>
    </xf>
    <xf numFmtId="0" fontId="95" fillId="0" borderId="17" applyAlignment="1" pivotButton="0" quotePrefix="0" xfId="0">
      <alignment horizontal="center" vertical="center"/>
    </xf>
    <xf numFmtId="2" fontId="95" fillId="0" borderId="17" applyAlignment="1" pivotButton="0" quotePrefix="0" xfId="0">
      <alignment horizontal="center" vertical="center"/>
    </xf>
    <xf numFmtId="0" fontId="95" fillId="0" borderId="17" pivotButton="0" quotePrefix="0" xfId="0"/>
    <xf numFmtId="2" fontId="95" fillId="0" borderId="17" pivotButton="0" quotePrefix="0" xfId="0"/>
    <xf numFmtId="0" fontId="96" fillId="0" borderId="17" pivotButton="0" quotePrefix="0" xfId="0"/>
    <xf numFmtId="0" fontId="97" fillId="0" borderId="0" pivotButton="0" quotePrefix="0" xfId="0"/>
    <xf numFmtId="0" fontId="96" fillId="0" borderId="0" pivotButton="0" quotePrefix="0" xfId="0"/>
    <xf numFmtId="0" fontId="93" fillId="2" borderId="0" applyAlignment="1" pivotButton="0" quotePrefix="0" xfId="0">
      <alignment horizontal="center" vertical="center"/>
    </xf>
    <xf numFmtId="2" fontId="95" fillId="5" borderId="17" applyAlignment="1" pivotButton="0" quotePrefix="0" xfId="0">
      <alignment horizontal="center" vertical="center"/>
    </xf>
    <xf numFmtId="0" fontId="87" fillId="0" borderId="3" applyAlignment="1" pivotButton="0" quotePrefix="0" xfId="0">
      <alignment horizontal="center" vertical="center" wrapText="1"/>
    </xf>
    <xf numFmtId="2" fontId="95" fillId="6" borderId="17" applyAlignment="1" pivotButton="0" quotePrefix="0" xfId="0">
      <alignment horizontal="center" vertical="center"/>
    </xf>
    <xf numFmtId="0" fontId="64" fillId="4" borderId="3" pivotButton="0" quotePrefix="0" xfId="0"/>
    <xf numFmtId="0" fontId="67" fillId="4" borderId="3" applyAlignment="1" pivotButton="0" quotePrefix="0" xfId="0">
      <alignment horizontal="center" vertical="center" wrapText="1"/>
    </xf>
    <xf numFmtId="0" fontId="79" fillId="4" borderId="3" pivotButton="0" quotePrefix="0" xfId="0"/>
    <xf numFmtId="0" fontId="87" fillId="4" borderId="3" applyAlignment="1" pivotButton="0" quotePrefix="0" xfId="0">
      <alignment horizontal="center" vertical="center" wrapText="1"/>
    </xf>
    <xf numFmtId="0" fontId="65" fillId="2" borderId="0" applyAlignment="1" pivotButton="0" quotePrefix="0" xfId="0">
      <alignment horizontal="left" vertical="center" wrapText="1"/>
    </xf>
    <xf numFmtId="0" fontId="98" fillId="0" borderId="0" pivotButton="0" quotePrefix="0" xfId="0"/>
    <xf numFmtId="0" fontId="64" fillId="0" borderId="0" applyAlignment="1" pivotButton="0" quotePrefix="0" xfId="0">
      <alignment horizontal="left" vertical="center" wrapText="1"/>
    </xf>
    <xf numFmtId="0" fontId="65" fillId="12" borderId="0" applyAlignment="1" pivotButton="0" quotePrefix="0" xfId="0">
      <alignment horizontal="center" vertical="center" wrapText="1"/>
    </xf>
    <xf numFmtId="0" fontId="65" fillId="12" borderId="0" pivotButton="0" quotePrefix="0" xfId="0"/>
    <xf numFmtId="0" fontId="80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pivotButton="0" quotePrefix="0" xfId="0"/>
    <xf numFmtId="0" fontId="65" fillId="0" borderId="0" applyAlignment="1" pivotButton="0" quotePrefix="0" xfId="0">
      <alignment horizontal="center" vertical="center" wrapText="1"/>
    </xf>
    <xf numFmtId="0" fontId="64" fillId="14" borderId="0" applyAlignment="1" pivotButton="0" quotePrefix="0" xfId="0">
      <alignment horizontal="center" vertical="center" wrapText="1"/>
    </xf>
    <xf numFmtId="0" fontId="71" fillId="0" borderId="3" applyAlignment="1" pivotButton="0" quotePrefix="0" xfId="0">
      <alignment horizontal="center" vertical="center" wrapText="1"/>
    </xf>
    <xf numFmtId="0" fontId="98" fillId="0" borderId="3" pivotButton="0" quotePrefix="0" xfId="0"/>
    <xf numFmtId="0" fontId="98" fillId="0" borderId="3" applyAlignment="1" pivotButton="0" quotePrefix="0" xfId="0">
      <alignment horizontal="center" vertical="center" wrapText="1"/>
    </xf>
    <xf numFmtId="0" fontId="76" fillId="10" borderId="3" applyAlignment="1" pivotButton="0" quotePrefix="0" xfId="0">
      <alignment horizontal="left" vertical="center" wrapText="1"/>
    </xf>
    <xf numFmtId="2" fontId="95" fillId="0" borderId="17" applyAlignment="1" pivotButton="0" quotePrefix="0" xfId="0">
      <alignment horizontal="left" vertical="center"/>
    </xf>
    <xf numFmtId="0" fontId="95" fillId="6" borderId="17" applyAlignment="1" pivotButton="0" quotePrefix="0" xfId="0">
      <alignment horizontal="center" vertical="center"/>
    </xf>
    <xf numFmtId="0" fontId="96" fillId="0" borderId="17" applyAlignment="1" pivotButton="0" quotePrefix="0" xfId="0">
      <alignment horizontal="center" vertical="center"/>
    </xf>
    <xf numFmtId="0" fontId="95" fillId="0" borderId="17" applyAlignment="1" pivotButton="0" quotePrefix="0" xfId="0">
      <alignment horizontal="center" vertical="center" wrapText="1"/>
    </xf>
    <xf numFmtId="0" fontId="95" fillId="0" borderId="17" applyAlignment="1" pivotButton="0" quotePrefix="0" xfId="0">
      <alignment horizontal="left" vertical="center" wrapText="1"/>
    </xf>
    <xf numFmtId="0" fontId="95" fillId="9" borderId="17" applyAlignment="1" pivotButton="0" quotePrefix="0" xfId="0">
      <alignment horizontal="center" vertical="center" wrapText="1"/>
    </xf>
    <xf numFmtId="0" fontId="95" fillId="11" borderId="17" applyAlignment="1" pivotButton="0" quotePrefix="0" xfId="0">
      <alignment horizontal="center" vertical="center" wrapText="1"/>
    </xf>
    <xf numFmtId="0" fontId="65" fillId="15" borderId="1" applyAlignment="1" pivotButton="0" quotePrefix="0" xfId="0">
      <alignment horizontal="center" vertical="center"/>
    </xf>
    <xf numFmtId="0" fontId="98" fillId="0" borderId="3" applyAlignment="1" pivotButton="0" quotePrefix="0" xfId="0">
      <alignment horizontal="left" vertical="center" wrapText="1"/>
    </xf>
    <xf numFmtId="0" fontId="98" fillId="0" borderId="3" applyAlignment="1" pivotButton="0" quotePrefix="0" xfId="0">
      <alignment horizontal="center" vertical="center"/>
    </xf>
    <xf numFmtId="2" fontId="98" fillId="0" borderId="3" applyAlignment="1" pivotButton="0" quotePrefix="0" xfId="0">
      <alignment horizontal="right" vertical="center"/>
    </xf>
    <xf numFmtId="0" fontId="98" fillId="0" borderId="3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/>
    <pageSetUpPr/>
  </sheetPr>
  <dimension ref="A1:H179"/>
  <sheetViews>
    <sheetView workbookViewId="0">
      <selection activeCell="A1" sqref="A1"/>
    </sheetView>
  </sheetViews>
  <sheetFormatPr baseColWidth="8" defaultColWidth="14.43" defaultRowHeight="15" customHeight="1" outlineLevelRow="2"/>
  <cols>
    <col width="32" customWidth="1" style="132" min="1" max="1"/>
    <col width="26" customWidth="1" style="132" min="2" max="3"/>
    <col width="38" customWidth="1" style="132" min="4" max="4"/>
    <col width="24" customWidth="1" style="132" min="5" max="5"/>
    <col width="16" customWidth="1" style="132" min="6" max="6"/>
    <col width="18" customWidth="1" style="132" min="7" max="7"/>
    <col width="20" customWidth="1" style="132" min="8" max="8"/>
    <col width="8.710000000000001" customWidth="1" style="132" min="9" max="26"/>
  </cols>
  <sheetData>
    <row r="1">
      <c r="A1" s="175" t="inlineStr">
        <is>
          <t>RESEARCH INTELLIGENCE ENGINE (RIE) — COMMAND CENTER v1.0</t>
        </is>
      </c>
      <c r="G1" s="176" t="inlineStr">
        <is>
          <t>DATA PROJECTION &amp; SYSTEM STATUS</t>
        </is>
      </c>
    </row>
    <row r="2">
      <c r="A2" s="177" t="inlineStr">
        <is>
          <t>Interactive Executive Console &amp; Epistemic Governance Cockpit | Governed under Human Architect Level 5 — Human Architect</t>
        </is>
      </c>
      <c r="G2" s="178" t="inlineStr">
        <is>
          <t>Baseline: RIE_v1.5_GOLDEN_STATE | Rollback Anchors: v1.4.0 &amp; v1.4.1 VERIFIED</t>
        </is>
      </c>
    </row>
    <row r="3">
      <c r="A3" s="179" t="inlineStr">
        <is>
          <t>Cognitive Workflow: Question ➔ Discovery ➔ Understanding ➔ Verification ➔ Exploration ➔ Decision</t>
        </is>
      </c>
      <c r="G3" s="180" t="inlineStr">
        <is>
          <t>Phase Status: RIE v1.5 FULL CONTROLLED IMPLEMENTATION SEALED (PASS) | Mode: GOVERNED OPERATIONAL</t>
        </is>
      </c>
    </row>
    <row r="4">
      <c r="A4" s="181" t="inlineStr">
        <is>
          <t>QUICK NAVIGATION:</t>
        </is>
      </c>
      <c r="B4" s="182">
        <f>HYPERLINK("#'02_Object_Registry'!A1", "➔ 2. OBJECT REGISTRY")</f>
        <v/>
      </c>
      <c r="C4" s="182">
        <f>HYPERLINK("#'03_Relationship_Registry'!A1", "➔ 3. RELATIONSHIP REGISTRY")</f>
        <v/>
      </c>
      <c r="D4" s="182">
        <f>HYPERLINK("#'04_Lineage_Explorer'!A1", "➔ 4. LINEAGE EXPLORER")</f>
        <v/>
      </c>
      <c r="E4" s="182">
        <f>HYPERLINK("#'05_Knowledge_Frontier'!A1", "➔ 5. KNOWLEDGE FRONTIER")</f>
        <v/>
      </c>
      <c r="F4" s="182">
        <f>HYPERLINK("#'06_Provenance_Register'!A1", "➔ 6. PROVENANCE REGISTER")</f>
        <v/>
      </c>
      <c r="G4" s="182">
        <f>HYPERLINK("#'07_Human_Decision_Log'!A1", "➔ 7. HUMAN DECISION LOG")</f>
        <v/>
      </c>
      <c r="H4" s="182">
        <f>HYPERLINK("#'DATA_KO'!A1", "➔ REPOSITORY DATA")</f>
        <v/>
      </c>
    </row>
    <row r="5"/>
    <row r="6">
      <c r="A6" s="183" t="inlineStr">
        <is>
          <t>1. INTELLIGENCE INVENTORY &amp; SUBSTRATE METRICS</t>
        </is>
      </c>
      <c r="E6" s="183" t="inlineStr">
        <is>
          <t>2. HUMAN REVIEW STATUS (LEVEL 5 GOVERNANCE)</t>
        </is>
      </c>
    </row>
    <row r="7">
      <c r="A7" s="184" t="inlineStr">
        <is>
          <t>Evidence Objects (EO)</t>
        </is>
      </c>
      <c r="B7" s="185">
        <f>COUNTA(DATA_EO!A2:A1000)</f>
        <v/>
      </c>
      <c r="C7" s="186" t="inlineStr">
        <is>
          <t>Layer 1 ground truth empirical observations with exact timestamps</t>
        </is>
      </c>
      <c r="D7" s="138" t="n"/>
      <c r="E7" s="188" t="inlineStr">
        <is>
          <t>Pending Review</t>
        </is>
      </c>
      <c r="F7" s="189">
        <f>COUNTIF(DATA_KO!H:H, "CANDIDATE") + COUNTIF(DATA_KO!H:H, "PENDING_HUMAN_REVIEW")</f>
        <v/>
      </c>
      <c r="G7" s="186" t="inlineStr">
        <is>
          <t>Queued items awaiting Human Architect Level 5 evaluation</t>
        </is>
      </c>
      <c r="H7" s="138" t="n"/>
    </row>
    <row r="8">
      <c r="A8" s="184" t="inlineStr">
        <is>
          <t>Interpretation Objects (IO)</t>
        </is>
      </c>
      <c r="B8" s="185">
        <f>COUNTA(DATA_IO!A2:A1000)</f>
        <v/>
      </c>
      <c r="C8" s="186" t="inlineStr">
        <is>
          <t>Layer 2 analytical models paired with competing counter-hypotheses</t>
        </is>
      </c>
      <c r="D8" s="138" t="n"/>
      <c r="E8" s="190" t="inlineStr">
        <is>
          <t>Accepted (Ratified)</t>
        </is>
      </c>
      <c r="F8" s="191">
        <f>COUNTIF(DATA_KO!H:H, "CANONICAL") + COUNTIF(DATA_KO!I:I, "CANONICAL_RATIFIED")</f>
        <v/>
      </c>
      <c r="G8" s="186" t="inlineStr">
        <is>
          <t>Knowledge objects formally ratified into Canonical status</t>
        </is>
      </c>
      <c r="H8" s="138" t="n"/>
    </row>
    <row r="9">
      <c r="A9" s="184" t="inlineStr">
        <is>
          <t>Knowledge Objects (KO)</t>
        </is>
      </c>
      <c r="B9" s="185">
        <f>COUNTA(DATA_KO!A2:A1000)</f>
        <v/>
      </c>
      <c r="C9" s="186" t="inlineStr">
        <is>
          <t>Layer 3 synthesized institutional concepts awaiting Level 5 ratification</t>
        </is>
      </c>
      <c r="D9" s="138" t="n"/>
      <c r="E9" s="192" t="inlineStr">
        <is>
          <t>Rejected / Quarantined</t>
        </is>
      </c>
      <c r="F9" s="193">
        <f>COUNTIF(DATA_KO!H:H, "REJECTED") + COUNTIF(DATA_KO!H:H, "QUARANTINED*")</f>
        <v/>
      </c>
      <c r="G9" s="186" t="inlineStr">
        <is>
          <t>Rejected candidates &amp; quarantined fixtures archived as negative/quarantined knowledge</t>
        </is>
      </c>
      <c r="H9" s="138" t="n"/>
    </row>
    <row r="10">
      <c r="A10" s="184" t="inlineStr">
        <is>
          <t>Total Relationships</t>
        </is>
      </c>
      <c r="B10" s="185">
        <f>COUNTA(DATA_RELATIONSHIPS!A2:A1000)</f>
        <v/>
      </c>
      <c r="C10" s="186" t="inlineStr">
        <is>
          <t>Multi-layer semantic links (Substantiates, Synthesized Into, Coupled With)</t>
        </is>
      </c>
      <c r="D10" s="138" t="n"/>
      <c r="E10" s="194" t="inlineStr">
        <is>
          <t>Deferred</t>
        </is>
      </c>
      <c r="F10" s="195">
        <f>COUNTIF(DATA_KO!H:H, "DEFERRED") + COUNTIF(DATA_KO!I:I, "CANDIDATE_REFINEMENT")</f>
        <v/>
      </c>
      <c r="G10" s="186" t="inlineStr">
        <is>
          <t>Candidate concepts returned for further empirical refinement</t>
        </is>
      </c>
      <c r="H10" s="138" t="n"/>
    </row>
    <row r="11">
      <c r="A11" s="184" t="inlineStr">
        <is>
          <t>Origin Media Sources</t>
        </is>
      </c>
      <c r="B11" s="185">
        <f>COUNTA(DATA_SOURCE!A2:A1000)</f>
        <v/>
      </c>
      <c r="C11" s="186" t="inlineStr">
        <is>
          <t>Verified upstream media source records ingested into repository</t>
        </is>
      </c>
      <c r="D11" s="138" t="n"/>
      <c r="E11" s="184" t="inlineStr">
        <is>
          <t>Total Frontier Items</t>
        </is>
      </c>
      <c r="F11" s="185">
        <f>COUNTIF(DATA_KO!H:H, "CANDIDATE") + COUNTIF(DATA_KO!H:H, "PENDING_HUMAN_REVIEW")</f>
        <v/>
      </c>
      <c r="G11" s="186" t="inlineStr">
        <is>
          <t>All queued items across candidate KOs, hypotheses, and frontiers</t>
        </is>
      </c>
      <c r="H11" s="138" t="n"/>
    </row>
    <row r="12"/>
    <row r="13">
      <c r="A13" s="183" t="inlineStr">
        <is>
          <t>3. KNOWLEDGE FRONTIER FOCUS</t>
        </is>
      </c>
      <c r="E13" s="183" t="inlineStr">
        <is>
          <t>4. SYSTEM STATUS &amp; CANONICAL CONTROL</t>
        </is>
      </c>
    </row>
    <row r="14">
      <c r="A14" s="184" t="inlineStr">
        <is>
          <t>Unresolved Frontier Items</t>
        </is>
      </c>
      <c r="B14" s="196">
        <f>COUNTIF(DATA_KO!H:H, "CANDIDATE") + COUNTIF(DATA_KO!H:H, "PENDING_HUMAN_REVIEW")</f>
        <v/>
      </c>
      <c r="C14" s="186" t="inlineStr">
        <is>
          <t>Uncodified observations and hypotheses requiring human adjudication</t>
        </is>
      </c>
      <c r="D14" s="138" t="n"/>
      <c r="E14" s="184" t="inlineStr">
        <is>
          <t>Current Production Baseline</t>
        </is>
      </c>
      <c r="F14" s="191" t="inlineStr">
        <is>
          <t>RIE_v1.5_GOLDEN_STATE</t>
        </is>
      </c>
      <c r="G14" s="186" t="inlineStr">
        <is>
          <t>Hybrid LLM Staged Batch + 10-Track Taxonomy v2.0 + AITG Bridge + SQLite Sidecar</t>
        </is>
      </c>
      <c r="H14" s="138" t="n"/>
    </row>
    <row r="15">
      <c r="A15" s="184" t="inlineStr">
        <is>
          <t>Candidate KOs</t>
        </is>
      </c>
      <c r="B15" s="185">
        <f>COUNTIF(DATA_KO!H:H, "CANDIDATE")</f>
        <v/>
      </c>
      <c r="C15" s="186" t="inlineStr">
        <is>
          <t>Synthesized concepts pending formal Human Architect Level 5 ratification</t>
        </is>
      </c>
      <c r="D15" s="138" t="n"/>
      <c r="E15" s="184" t="inlineStr">
        <is>
          <t>Development Candidate</t>
        </is>
      </c>
      <c r="F15" s="191" t="inlineStr">
        <is>
          <t>RIE_v1.4.1_REMEDIATED_SEALED</t>
        </is>
      </c>
      <c r="G15" s="186" t="inlineStr">
        <is>
          <t>Previous Golden State &amp; v1.4.0 Rollback Anchor Preserved Untouched</t>
        </is>
      </c>
      <c r="H15" s="138" t="n"/>
    </row>
    <row r="16">
      <c r="A16" s="184" t="inlineStr">
        <is>
          <t>Pending Human Review</t>
        </is>
      </c>
      <c r="B16" s="196">
        <f>COUNTIF(DATA_KO!H:H, "PENDING_HUMAN_REVIEW")</f>
        <v/>
      </c>
      <c r="C16" s="186" t="inlineStr">
        <is>
          <t>Candidate concepts routed to human architect review queue</t>
        </is>
      </c>
      <c r="D16" s="138" t="n"/>
      <c r="E16" s="184" t="inlineStr">
        <is>
          <t>Validation Status</t>
        </is>
      </c>
      <c r="F16" s="191" t="inlineStr">
        <is>
          <t>PASS</t>
        </is>
      </c>
      <c r="G16" s="186" t="inlineStr">
        <is>
          <t>Validation Evidence: 21/21 Unit | 7/7 Adversarial | 6/6 v1.5 Feature Tests | ./rie audit PASS</t>
        </is>
      </c>
      <c r="H16" s="138" t="n"/>
    </row>
    <row r="17">
      <c r="A17" s="184" t="inlineStr">
        <is>
          <t>Total Epistemic Objects</t>
        </is>
      </c>
      <c r="B17" s="185">
        <f>(COUNTA(DATA_KO!A2:A1000)+COUNTA(DATA_IO!A2:A1000)+COUNTA(DATA_EO!A2:A1000))</f>
        <v/>
      </c>
      <c r="C17" s="186" t="inlineStr">
        <is>
          <t>Combined cardinality across Knowledge, Interpretation, and Evidence layers</t>
        </is>
      </c>
      <c r="D17" s="138" t="n"/>
      <c r="E17" s="184" t="inlineStr">
        <is>
          <t>Promotion Status</t>
        </is>
      </c>
      <c r="F17" s="191" t="inlineStr">
        <is>
          <t>GOVERNED_OPERATIONAL_MODE</t>
        </is>
      </c>
      <c r="G17" s="186" t="inlineStr">
        <is>
          <t>RIE_COMMAND_CENTER.xlsx = SOLE HUMAN SSOT | rie_substrate.db = Performance Sidecar</t>
        </is>
      </c>
      <c r="H17" s="138" t="n"/>
    </row>
    <row r="19">
      <c r="A19" s="183" t="inlineStr">
        <is>
          <t>5. INTELLIGENCE SEARCH &amp; COGNITIVE DISCOVERY CONSOLE</t>
        </is>
      </c>
    </row>
    <row r="20">
      <c r="A20" s="197" t="inlineStr">
        <is>
          <t>SEARCH KEYWORD:</t>
        </is>
      </c>
      <c r="B20" s="198" t="inlineStr">
        <is>
          <t>Enter Topic / Inquiry:</t>
        </is>
      </c>
      <c r="C20" s="199" t="inlineStr">
        <is>
          <t>Gold</t>
        </is>
      </c>
      <c r="D20" s="200">
        <f>HYPERLINK("#'01_Executive_Dashboard'!A20", "➔ [ SEARCH / REFRESH ]")</f>
        <v/>
      </c>
      <c r="E20" s="201">
        <f>HYPERLINK("#'01_Executive_Dashboard'!A138", "➔ [ PREPARE INTELLIGENCE REPORT REQUEST ]")</f>
        <v/>
      </c>
      <c r="F20" s="140" t="n"/>
      <c r="G20" s="140" t="n"/>
      <c r="H20" s="138" t="n"/>
    </row>
    <row r="21" ht="15.75" customHeight="1" s="132">
      <c r="A21" s="203" t="inlineStr">
        <is>
          <t>ACTIVE SELECTION:</t>
        </is>
      </c>
      <c r="B21" s="203" t="inlineStr">
        <is>
          <t>Selected KO for Investigation:</t>
        </is>
      </c>
      <c r="C21" s="204">
        <f t="array" ref="C21">IFERROR(INDEX(DATA_KO!A:A, MATCH(1, DATA_KO!K:K, 0)), "KO-FIN-DEBT-INTEREST-SPIRAL-001")</f>
        <v/>
      </c>
      <c r="D21" s="205">
        <f>HYPERLINK("#'04_Lineage_Explorer'!B6", "➔ [ OPEN LINEAGE EXPLORER ]")</f>
        <v/>
      </c>
      <c r="E21" s="206">
        <f>IFERROR("Active Concept: " &amp; VLOOKUP(C21, DATA_KO!A:B, 2, FALSE), "")</f>
        <v/>
      </c>
    </row>
    <row r="22" ht="15.75" customHeight="1" s="132">
      <c r="A22" s="207">
        <f>"SEARCH RESULTS FOR: " &amp; UPPER($C$20) &amp; " | Matched Knowledge Objects: " &amp; COUNTIF(DATA_KO!J:J, 1) &amp; " | Substrate Interpretations: " &amp; COUNTIF(DATA_IO!J:J, 1) &amp; " | Grounding Evidence: " &amp; COUNTIF(DATA_EO!O:O, 1)</f>
        <v/>
      </c>
      <c r="B22" s="142" t="n"/>
      <c r="C22" s="142" t="n"/>
      <c r="D22" s="142" t="n"/>
      <c r="E22" s="142" t="n"/>
      <c r="F22" s="142" t="n"/>
      <c r="G22" s="142" t="n"/>
      <c r="H22" s="143" t="n"/>
    </row>
    <row r="23" ht="15.75" customHeight="1" s="132">
      <c r="A23" s="210" t="inlineStr">
        <is>
          <t>HUMAN DECISION WORKFLOW: 1. Review Knowledge ➔ 2. Compare Evidence ➔ 3. Formulate Decision (ACCEPT / HOLD / REJECT / FURTHER RESEARCH) ➔ 4. [ RECORD DECISION IN LOG ]</t>
        </is>
      </c>
    </row>
    <row r="24" ht="15.75" customHeight="1" s="132">
      <c r="A24" s="211" t="inlineStr">
        <is>
          <t>RETRIEVED KNOWLEDGE CONCEPTS (HUMAN MEANING FIRST — PROVENANCE LINEAGE ROOT)</t>
        </is>
      </c>
    </row>
    <row r="25" ht="15.75" customHeight="1" s="132">
      <c r="A25" s="212" t="inlineStr">
        <is>
          <t>Concept Title (Human Meaning First)</t>
        </is>
      </c>
      <c r="B25" s="212" t="inlineStr">
        <is>
          <t>Object_ID &amp; Domain</t>
        </is>
      </c>
      <c r="C25" s="212" t="inlineStr">
        <is>
          <t>Matched Because (Match Reason)</t>
        </is>
      </c>
      <c r="D25" s="212" t="inlineStr">
        <is>
          <t>Matched Specifics (Snippet)</t>
        </is>
      </c>
      <c r="E25" s="212" t="inlineStr">
        <is>
          <t>Substrate Profile</t>
        </is>
      </c>
      <c r="F25" s="212" t="inlineStr">
        <is>
          <t>Lineage Status</t>
        </is>
      </c>
      <c r="G25" s="212" t="inlineStr">
        <is>
          <t>Lineage Action</t>
        </is>
      </c>
      <c r="H25" s="212" t="inlineStr">
        <is>
          <t>Decision Action</t>
        </is>
      </c>
    </row>
    <row r="26" ht="15.75" customHeight="1" s="132">
      <c r="A26" s="213">
        <f t="array" ref="A26">IFERROR(INDEX(DATA_KO!B:B, MATCH(1, DATA_KO!K:K, 0)), IF(1=1, "No intelligence objects found", ""))</f>
        <v/>
      </c>
      <c r="B26" s="214">
        <f t="array" ref="B26">IFERROR(INDEX(DATA_KO!A:A, MATCH(1, DATA_KO!K:K, 0)) &amp; " | " &amp; INDEX(DATA_KO!C:C, MATCH(1, DATA_KO!K:K, 0)), "")</f>
        <v/>
      </c>
      <c r="C26" s="215">
        <f t="array" ref="C26">IFERROR(INDEX(DATA_KO!O:O, MATCH(1, DATA_KO!K:K, 0)), "")</f>
        <v/>
      </c>
      <c r="D26" s="216">
        <f t="array" ref="D26">IFERROR(INDEX(DATA_KO!P:P, MATCH(1, DATA_KO!K:K, 0)), "")</f>
        <v/>
      </c>
      <c r="E26" s="216">
        <f t="array" ref="E26">IFERROR(INDEX(DATA_KO!T:T, MATCH(1, DATA_KO!K:K, 0)), "")</f>
        <v/>
      </c>
      <c r="F26" s="217">
        <f>IF(A26="","", IF(A26="No intelligence objects found", "", "LINKED"))</f>
        <v/>
      </c>
      <c r="G26" s="218">
        <f>IF(A26="","", IF(A26="No intelligence objects found", "", HYPERLINK("#'04_Lineage_Explorer'!B6", "➔ Trace Lineage")))</f>
        <v/>
      </c>
      <c r="H26" s="218">
        <f>IF(A26="","", IF(A26="No intelligence objects found", "", HYPERLINK("#'07_Human_Decision_Log'!A1", "➔ Record Decision")))</f>
        <v/>
      </c>
    </row>
    <row r="27" ht="15.75" customHeight="1" s="132">
      <c r="A27" s="213">
        <f t="array" ref="A27">IFERROR(INDEX(DATA_KO!B:B, MATCH(2, DATA_KO!K:K, 0)), IF(2=1, "No intelligence objects found", ""))</f>
        <v/>
      </c>
      <c r="B27" s="214">
        <f t="array" ref="B27">IFERROR(INDEX(DATA_KO!A:A, MATCH(2, DATA_KO!K:K, 0)) &amp; " | " &amp; INDEX(DATA_KO!C:C, MATCH(2, DATA_KO!K:K, 0)), "")</f>
        <v/>
      </c>
      <c r="C27" s="215">
        <f t="array" ref="C27">IFERROR(INDEX(DATA_KO!O:O, MATCH(2, DATA_KO!K:K, 0)), "")</f>
        <v/>
      </c>
      <c r="D27" s="216">
        <f t="array" ref="D27">IFERROR(INDEX(DATA_KO!P:P, MATCH(2, DATA_KO!K:K, 0)), "")</f>
        <v/>
      </c>
      <c r="E27" s="216">
        <f t="array" ref="E27">IFERROR(INDEX(DATA_KO!T:T, MATCH(2, DATA_KO!K:K, 0)), "")</f>
        <v/>
      </c>
      <c r="F27" s="217">
        <f>IF(A27="","", IF(A27="No intelligence objects found", "", "LINKED"))</f>
        <v/>
      </c>
      <c r="G27" s="218">
        <f>IF(A27="","", IF(A27="No intelligence objects found", "", HYPERLINK("#'04_Lineage_Explorer'!B6", "➔ Trace Lineage")))</f>
        <v/>
      </c>
      <c r="H27" s="218">
        <f>IF(A27="","", IF(A27="No intelligence objects found", "", HYPERLINK("#'07_Human_Decision_Log'!A1", "➔ Record Decision")))</f>
        <v/>
      </c>
    </row>
    <row r="28" ht="15.75" customHeight="1" s="132">
      <c r="A28" s="213">
        <f t="array" ref="A28">IFERROR(INDEX(DATA_KO!B:B, MATCH(3, DATA_KO!K:K, 0)), IF(3=1, "No intelligence objects found", ""))</f>
        <v/>
      </c>
      <c r="B28" s="214">
        <f t="array" ref="B28">IFERROR(INDEX(DATA_KO!A:A, MATCH(3, DATA_KO!K:K, 0)) &amp; " | " &amp; INDEX(DATA_KO!C:C, MATCH(3, DATA_KO!K:K, 0)), "")</f>
        <v/>
      </c>
      <c r="C28" s="215">
        <f t="array" ref="C28">IFERROR(INDEX(DATA_KO!O:O, MATCH(3, DATA_KO!K:K, 0)), "")</f>
        <v/>
      </c>
      <c r="D28" s="216">
        <f t="array" ref="D28">IFERROR(INDEX(DATA_KO!P:P, MATCH(3, DATA_KO!K:K, 0)), "")</f>
        <v/>
      </c>
      <c r="E28" s="216">
        <f t="array" ref="E28">IFERROR(INDEX(DATA_KO!T:T, MATCH(3, DATA_KO!K:K, 0)), "")</f>
        <v/>
      </c>
      <c r="F28" s="217">
        <f>IF(A28="","", IF(A28="No intelligence objects found", "", "LINKED"))</f>
        <v/>
      </c>
      <c r="G28" s="218">
        <f>IF(A28="","", IF(A28="No intelligence objects found", "", HYPERLINK("#'04_Lineage_Explorer'!B6", "➔ Trace Lineage")))</f>
        <v/>
      </c>
      <c r="H28" s="218">
        <f>IF(A28="","", IF(A28="No intelligence objects found", "", HYPERLINK("#'07_Human_Decision_Log'!A1", "➔ Record Decision")))</f>
        <v/>
      </c>
    </row>
    <row r="29" ht="15.75" customHeight="1" s="132">
      <c r="A29" s="213">
        <f t="array" ref="A29">IFERROR(INDEX(DATA_KO!B:B, MATCH(4, DATA_KO!K:K, 0)), IF(4=1, "No intelligence objects found", ""))</f>
        <v/>
      </c>
      <c r="B29" s="214">
        <f t="array" ref="B29">IFERROR(INDEX(DATA_KO!A:A, MATCH(4, DATA_KO!K:K, 0)) &amp; " | " &amp; INDEX(DATA_KO!C:C, MATCH(4, DATA_KO!K:K, 0)), "")</f>
        <v/>
      </c>
      <c r="C29" s="215">
        <f t="array" ref="C29">IFERROR(INDEX(DATA_KO!O:O, MATCH(4, DATA_KO!K:K, 0)), "")</f>
        <v/>
      </c>
      <c r="D29" s="216">
        <f t="array" ref="D29">IFERROR(INDEX(DATA_KO!P:P, MATCH(4, DATA_KO!K:K, 0)), "")</f>
        <v/>
      </c>
      <c r="E29" s="216">
        <f t="array" ref="E29">IFERROR(INDEX(DATA_KO!T:T, MATCH(4, DATA_KO!K:K, 0)), "")</f>
        <v/>
      </c>
      <c r="F29" s="217">
        <f>IF(A29="","", IF(A29="No intelligence objects found", "", "LINKED"))</f>
        <v/>
      </c>
      <c r="G29" s="218">
        <f>IF(A29="","", IF(A29="No intelligence objects found", "", HYPERLINK("#'04_Lineage_Explorer'!B6", "➔ Trace Lineage")))</f>
        <v/>
      </c>
      <c r="H29" s="218">
        <f>IF(A29="","", IF(A29="No intelligence objects found", "", HYPERLINK("#'07_Human_Decision_Log'!A1", "➔ Record Decision")))</f>
        <v/>
      </c>
    </row>
    <row r="30" ht="15.75" customHeight="1" s="132">
      <c r="A30" s="213">
        <f t="array" ref="A30">IFERROR(INDEX(DATA_KO!B:B, MATCH(5, DATA_KO!K:K, 0)), IF(5=1, "No intelligence objects found", ""))</f>
        <v/>
      </c>
      <c r="B30" s="214">
        <f t="array" ref="B30">IFERROR(INDEX(DATA_KO!A:A, MATCH(5, DATA_KO!K:K, 0)) &amp; " | " &amp; INDEX(DATA_KO!C:C, MATCH(5, DATA_KO!K:K, 0)), "")</f>
        <v/>
      </c>
      <c r="C30" s="215">
        <f t="array" ref="C30">IFERROR(INDEX(DATA_KO!O:O, MATCH(5, DATA_KO!K:K, 0)), "")</f>
        <v/>
      </c>
      <c r="D30" s="216">
        <f t="array" ref="D30">IFERROR(INDEX(DATA_KO!P:P, MATCH(5, DATA_KO!K:K, 0)), "")</f>
        <v/>
      </c>
      <c r="E30" s="216">
        <f t="array" ref="E30">IFERROR(INDEX(DATA_KO!T:T, MATCH(5, DATA_KO!K:K, 0)), "")</f>
        <v/>
      </c>
      <c r="F30" s="217">
        <f>IF(A30="","", IF(A30="No intelligence objects found", "", "LINKED"))</f>
        <v/>
      </c>
      <c r="G30" s="218">
        <f>IF(A30="","", IF(A30="No intelligence objects found", "", HYPERLINK("#'04_Lineage_Explorer'!B6", "➔ Trace Lineage")))</f>
        <v/>
      </c>
      <c r="H30" s="218">
        <f>IF(A30="","", IF(A30="No intelligence objects found", "", HYPERLINK("#'07_Human_Decision_Log'!A1", "➔ Record Decision")))</f>
        <v/>
      </c>
    </row>
    <row r="31" ht="15.75" customHeight="1" s="132">
      <c r="A31" s="213">
        <f t="array" ref="A31">IFERROR(INDEX(DATA_KO!B:B, MATCH(6, DATA_KO!K:K, 0)), IF(6=1, "No intelligence objects found", ""))</f>
        <v/>
      </c>
      <c r="B31" s="214">
        <f t="array" ref="B31">IFERROR(INDEX(DATA_KO!A:A, MATCH(6, DATA_KO!K:K, 0)) &amp; " | " &amp; INDEX(DATA_KO!C:C, MATCH(6, DATA_KO!K:K, 0)), "")</f>
        <v/>
      </c>
      <c r="C31" s="215">
        <f t="array" ref="C31">IFERROR(INDEX(DATA_KO!O:O, MATCH(6, DATA_KO!K:K, 0)), "")</f>
        <v/>
      </c>
      <c r="D31" s="216">
        <f t="array" ref="D31">IFERROR(INDEX(DATA_KO!P:P, MATCH(6, DATA_KO!K:K, 0)), "")</f>
        <v/>
      </c>
      <c r="E31" s="216">
        <f t="array" ref="E31">IFERROR(INDEX(DATA_KO!T:T, MATCH(6, DATA_KO!K:K, 0)), "")</f>
        <v/>
      </c>
      <c r="F31" s="217">
        <f>IF(A31="","", IF(A31="No intelligence objects found", "", "LINKED"))</f>
        <v/>
      </c>
      <c r="G31" s="218">
        <f>IF(A31="","", IF(A31="No intelligence objects found", "", HYPERLINK("#'04_Lineage_Explorer'!B6", "➔ Trace Lineage")))</f>
        <v/>
      </c>
      <c r="H31" s="218">
        <f>IF(A31="","", IF(A31="No intelligence objects found", "", HYPERLINK("#'07_Human_Decision_Log'!A1", "➔ Record Decision")))</f>
        <v/>
      </c>
    </row>
    <row r="32" ht="15.75" customHeight="1" s="132">
      <c r="A32" s="213">
        <f t="array" ref="A32">IFERROR(INDEX(DATA_KO!B:B, MATCH(7, DATA_KO!K:K, 0)), IF(7=1, "No intelligence objects found", ""))</f>
        <v/>
      </c>
      <c r="B32" s="214">
        <f t="array" ref="B32">IFERROR(INDEX(DATA_KO!A:A, MATCH(7, DATA_KO!K:K, 0)) &amp; " | " &amp; INDEX(DATA_KO!C:C, MATCH(7, DATA_KO!K:K, 0)), "")</f>
        <v/>
      </c>
      <c r="C32" s="215">
        <f t="array" ref="C32">IFERROR(INDEX(DATA_KO!O:O, MATCH(7, DATA_KO!K:K, 0)), "")</f>
        <v/>
      </c>
      <c r="D32" s="216">
        <f t="array" ref="D32">IFERROR(INDEX(DATA_KO!P:P, MATCH(7, DATA_KO!K:K, 0)), "")</f>
        <v/>
      </c>
      <c r="E32" s="216">
        <f t="array" ref="E32">IFERROR(INDEX(DATA_KO!T:T, MATCH(7, DATA_KO!K:K, 0)), "")</f>
        <v/>
      </c>
      <c r="F32" s="217">
        <f>IF(A32="","", IF(A32="No intelligence objects found", "", "LINKED"))</f>
        <v/>
      </c>
      <c r="G32" s="218">
        <f>IF(A32="","", IF(A32="No intelligence objects found", "", HYPERLINK("#'04_Lineage_Explorer'!B6", "➔ Trace Lineage")))</f>
        <v/>
      </c>
      <c r="H32" s="218">
        <f>IF(A32="","", IF(A32="No intelligence objects found", "", HYPERLINK("#'07_Human_Decision_Log'!A1", "➔ Record Decision")))</f>
        <v/>
      </c>
    </row>
    <row r="33" ht="15.75" customHeight="1" s="132">
      <c r="A33" s="213">
        <f t="array" ref="A33">IFERROR(INDEX(DATA_KO!B:B, MATCH(8, DATA_KO!K:K, 0)), IF(8=1, "No intelligence objects found", ""))</f>
        <v/>
      </c>
      <c r="B33" s="214">
        <f t="array" ref="B33">IFERROR(INDEX(DATA_KO!A:A, MATCH(8, DATA_KO!K:K, 0)) &amp; " | " &amp; INDEX(DATA_KO!C:C, MATCH(8, DATA_KO!K:K, 0)), "")</f>
        <v/>
      </c>
      <c r="C33" s="215">
        <f t="array" ref="C33">IFERROR(INDEX(DATA_KO!O:O, MATCH(8, DATA_KO!K:K, 0)), "")</f>
        <v/>
      </c>
      <c r="D33" s="216">
        <f t="array" ref="D33">IFERROR(INDEX(DATA_KO!P:P, MATCH(8, DATA_KO!K:K, 0)), "")</f>
        <v/>
      </c>
      <c r="E33" s="216">
        <f t="array" ref="E33">IFERROR(INDEX(DATA_KO!T:T, MATCH(8, DATA_KO!K:K, 0)), "")</f>
        <v/>
      </c>
      <c r="F33" s="217">
        <f>IF(A33="","", IF(A33="No intelligence objects found", "", "LINKED"))</f>
        <v/>
      </c>
      <c r="G33" s="218">
        <f>IF(A33="","", IF(A33="No intelligence objects found", "", HYPERLINK("#'04_Lineage_Explorer'!B6", "➔ Trace Lineage")))</f>
        <v/>
      </c>
      <c r="H33" s="218">
        <f>IF(A33="","", IF(A33="No intelligence objects found", "", HYPERLINK("#'07_Human_Decision_Log'!A1", "➔ Record Decision")))</f>
        <v/>
      </c>
    </row>
    <row r="34" ht="15.75" customHeight="1" s="132">
      <c r="A34" s="219">
        <f t="array" ref="A34">IFERROR(INDEX(DATA_KO!B:B, MATCH(9, DATA_KO!K:K, 0)), IF(9=1, "No intelligence objects found", ""))</f>
        <v/>
      </c>
      <c r="B34" s="220">
        <f t="array" ref="B34">IFERROR(INDEX(DATA_KO!A:A, MATCH(9, DATA_KO!K:K, 0)) &amp; " | " &amp; INDEX(DATA_KO!C:C, MATCH(9, DATA_KO!K:K, 0)), "")</f>
        <v/>
      </c>
      <c r="C34" s="206">
        <f t="array" ref="C34">IFERROR(INDEX(DATA_KO!O:O, MATCH(9, DATA_KO!K:K, 0)), "")</f>
        <v/>
      </c>
      <c r="D34" s="220">
        <f t="array" ref="D34">IFERROR(INDEX(DATA_KO!P:P, MATCH(9, DATA_KO!K:K, 0)), "")</f>
        <v/>
      </c>
      <c r="E34" s="220">
        <f t="array" ref="E34">IFERROR(INDEX(DATA_KO!T:T, MATCH(9, DATA_KO!K:K, 0)), "")</f>
        <v/>
      </c>
      <c r="F34" s="221">
        <f>IF(A34="","", IF(A34="No intelligence objects found", "", "LINKED"))</f>
        <v/>
      </c>
      <c r="G34" s="222">
        <f>IF(A34="","", IF(A34="No intelligence objects found", "", HYPERLINK("#'04_Lineage_Explorer'!B6", "➔ Trace Lineage")))</f>
        <v/>
      </c>
      <c r="H34" s="222">
        <f>IF(A34="","", IF(A34="No intelligence objects found", "", HYPERLINK("#'07_Human_Decision_Log'!A1", "➔ Record Decision")))</f>
        <v/>
      </c>
    </row>
    <row r="35" ht="15.75" customHeight="1" s="132">
      <c r="A35" s="223">
        <f t="array" ref="A35">IFERROR(INDEX(DATA_KO!B:B, MATCH(10, DATA_KO!K:K, 0)), IF(10=1, "No intelligence objects found", ""))</f>
        <v/>
      </c>
      <c r="B35" s="220">
        <f t="array" ref="B35">IFERROR(INDEX(DATA_KO!A:A, MATCH(10, DATA_KO!K:K, 0)) &amp; " | " &amp; INDEX(DATA_KO!C:C, MATCH(10, DATA_KO!K:K, 0)), "")</f>
        <v/>
      </c>
      <c r="C35" s="206">
        <f t="array" ref="C35">IFERROR(INDEX(DATA_KO!O:O, MATCH(10, DATA_KO!K:K, 0)), "")</f>
        <v/>
      </c>
      <c r="D35" s="220">
        <f t="array" ref="D35">IFERROR(INDEX(DATA_KO!P:P, MATCH(10, DATA_KO!K:K, 0)), "")</f>
        <v/>
      </c>
      <c r="E35" s="220">
        <f t="array" ref="E35">IFERROR(INDEX(DATA_KO!T:T, MATCH(10, DATA_KO!K:K, 0)), "")</f>
        <v/>
      </c>
      <c r="F35" s="221">
        <f>IF(A35="","", IF(A35="No intelligence objects found", "", "LINKED"))</f>
        <v/>
      </c>
      <c r="G35" s="222">
        <f>IF(A35="","", IF(A35="No intelligence objects found", "", HYPERLINK("#'04_Lineage_Explorer'!B6", "➔ Trace Lineage")))</f>
        <v/>
      </c>
      <c r="H35" s="222">
        <f>IF(A35="","", IF(A35="No intelligence objects found", "", HYPERLINK("#'07_Human_Decision_Log'!A1", "➔ Record Decision")))</f>
        <v/>
      </c>
    </row>
    <row r="36" ht="15.75" customHeight="1" s="132">
      <c r="A36" s="224" t="inlineStr">
        <is>
          <t>Hierarchical Discovery Tree (Collapsed by Default — Click [+] on Left Margin to Expand Supporting Interpretations &amp; Evidence)</t>
        </is>
      </c>
    </row>
    <row r="37" ht="15.75" customHeight="1" s="132">
      <c r="A37" s="225" t="inlineStr">
        <is>
          <t>6. DYNAMIC INTELLIGENCE TREE EXPLORER (MULTI-KO TOPIC DISCOVERY &amp; EXPANSION)</t>
        </is>
      </c>
    </row>
    <row r="38" ht="15.75" customHeight="1" s="132">
      <c r="A38" s="226" t="inlineStr">
        <is>
          <t>Hierarchical Discovery Tree (Collapsed by Default — Click [+] on Left Margin to Expand Supporting Interpretations &amp; Evidence)</t>
        </is>
      </c>
    </row>
    <row r="39" ht="15.75" customHeight="1" s="132">
      <c r="A39" s="227" t="inlineStr">
        <is>
          <t>EXPLORATION LENS:</t>
        </is>
      </c>
      <c r="B39" s="228">
        <f>"Search Topic: " &amp; UPPER($C$20) &amp; " | Retrieved Knowledge Clusters: " &amp; MAX(DATA_KO!K:K)</f>
        <v/>
      </c>
      <c r="G39" s="229">
        <f>HYPERLINK("#'01_Executive_Dashboard'!A20", "➔ [Refresh Tree / New Search]")</f>
        <v/>
      </c>
    </row>
    <row r="40" ht="15.75" customHeight="1" s="132">
      <c r="A40" s="230" t="n"/>
      <c r="B40" s="231" t="n"/>
      <c r="C40" s="232" t="n"/>
      <c r="D40" s="232" t="n"/>
      <c r="E40" s="232" t="n"/>
      <c r="F40" s="232" t="n"/>
      <c r="G40" s="232" t="n"/>
      <c r="H40" s="232" t="n"/>
    </row>
    <row r="41" ht="15.75" customHeight="1" s="132">
      <c r="A41" s="233">
        <f t="array" ref="A41">IFERROR(IF(INDEX(DATA_KO!A:A, MATCH(1, DATA_KO!K:K, 0))="","", "▼ Concept:"), "")</f>
        <v/>
      </c>
      <c r="B41" s="234">
        <f t="array" ref="B41">IFERROR(IF(INDEX(DATA_KO!A:A, MATCH(1, DATA_KO!K:K, 0))="","", INDEX(DATA_KO!B:B, MATCH(1, DATA_KO!K:K, 0))), "")</f>
        <v/>
      </c>
      <c r="E41" s="235">
        <f t="array" ref="E41">IFERROR(IF(INDEX(DATA_KO!A:A, MATCH(1, DATA_KO!K:K, 0))="","", "[[" &amp; INDEX(DATA_KO!A:A, MATCH(1, DATA_KO!K:K, 0)) &amp; "]]"), "")</f>
        <v/>
      </c>
      <c r="F41" s="236">
        <f t="array" ref="F41">IFERROR(IF(INDEX(DATA_KO!A:A, MATCH(1, DATA_KO!K:K, 0))="","", "IO: " &amp; INDEX(DATA_KO!R:R, MATCH(1, DATA_KO!K:K, 0)) &amp; " | EO: " &amp; INDEX(DATA_KO!Q:Q, MATCH(1, DATA_KO!K:K, 0)) &amp; " | Conf: " &amp; TEXT(INDEX(DATA_KO!G:G, MATCH(1, DATA_KO!K:K, 0)), "0.00")), "")</f>
        <v/>
      </c>
      <c r="G41" s="236">
        <f t="array" ref="G41">IFERROR(IF(INDEX(DATA_KO!A:A, MATCH(1, DATA_KO!K:K, 0))="","", "Domain: " &amp; INDEX(DATA_KO!C:C, MATCH(1, DATA_KO!K:K, 0))), "")</f>
        <v/>
      </c>
      <c r="H41" s="237">
        <f t="array" ref="H41">IFERROR(IF(INDEX(DATA_KO!A:A, MATCH(1, DATA_KO!K:K, 0))="","", HYPERLINK("#'04_Lineage_Explorer'!B6", "➔ [Inspect Lineage]")), "")</f>
        <v/>
      </c>
    </row>
    <row r="42" hidden="1" outlineLevel="1" ht="15.75" customHeight="1" s="132">
      <c r="A42" s="238" t="n"/>
      <c r="B42" s="231">
        <f t="array" ref="B42">IFERROR(IF(INDEX(DATA_KO!A:A, MATCH(1, DATA_KO!K:K, 0))="","", "    ▼ Supporting Interpretations (Layer 2) — " &amp; INDEX(DATA_KO!R:R, MATCH(1, DATA_KO!K:K, 0)) &amp; " Models"), "")</f>
        <v/>
      </c>
    </row>
    <row r="43" hidden="1" outlineLevel="2" ht="15.75" customHeight="1" s="132">
      <c r="A43" s="239" t="n"/>
      <c r="B43" s="220">
        <f t="array" ref="B43">IFERROR(IF(INDEX(DATA_KO!A:A, MATCH(1, DATA_KO!K:K, 0))="","", "        • [[" &amp; TRIM(MID(SUBSTITUTE(INDEX(DATA_KO!F:F, MATCH(1, DATA_KO!K:K, 0)), ",", REPT(" ", 500)), 1, 500)) &amp; "]] — " &amp; INDEX(DATA_IO!B:B, MATCH(TRIM(MID(SUBSTITUTE(INDEX(DATA_KO!F:F, MATCH(1, DATA_KO!K:K, 0)), ",", REPT(" ", 500)), 1, 500)), DATA_IO!A:A, 0))), "")</f>
        <v/>
      </c>
    </row>
    <row r="44" hidden="1" outlineLevel="2" ht="15.75" customHeight="1" s="132">
      <c r="A44" s="230" t="n"/>
      <c r="B44" s="220">
        <f t="array" ref="B44">IFERROR(IF(INDEX(DATA_KO!A:A, MATCH(1, DATA_KO!K:K, 0))="","", IF(ISERROR(FIND(",", INDEX(DATA_KO!F:F, MATCH(1, DATA_KO!K:K, 0)))), "", "        • [[" &amp; TRIM(MID(SUBSTITUTE(INDEX(DATA_KO!F:F, MATCH(1, DATA_KO!K:K, 0)), ",", REPT(" ", 500)), 501, 500)) &amp; "]] — " &amp; INDEX(DATA_IO!B:B, MATCH(TRIM(MID(SUBSTITUTE(INDEX(DATA_KO!F:F, MATCH(1, DATA_KO!K:K, 0)), ",", REPT(" ", 500)), 501, 500)), DATA_IO!A:A, 0)))), "")</f>
        <v/>
      </c>
    </row>
    <row r="45" hidden="1" outlineLevel="1" ht="15.75" customHeight="1" s="132">
      <c r="A45" s="240" t="n"/>
      <c r="B45" s="241">
        <f t="array" ref="B45">IFERROR(IF(INDEX(DATA_KO!A:A, MATCH(1, DATA_KO!K:K, 0))="","", "    ▼ Grounding Evidence (Layer 1) — " &amp; INDEX(DATA_KO!Q:Q, MATCH(1, DATA_KO!K:K, 0)) &amp; " Empirical Anchors"), "")</f>
        <v/>
      </c>
    </row>
    <row r="46" hidden="1" outlineLevel="2" ht="15.75" customHeight="1" s="132">
      <c r="A46" s="242" t="n"/>
      <c r="B46" s="220">
        <f t="array" ref="B46">IFERROR(IF(INDEX(DATA_KO!A:A, MATCH(1, DATA_KO!K:K, 0))="","", "        • [[" &amp; TRIM(MID(SUBSTITUTE(INDEX(DATA_KO!E:E, MATCH(1, DATA_KO!K:K, 0)), ",", REPT(" ", 500)), 1, 500)) &amp; "]] — " &amp; INDEX(DATA_EO!L:L, MATCH(TRIM(MID(SUBSTITUTE(INDEX(DATA_KO!E:E, MATCH(1, DATA_KO!K:K, 0)), ",", REPT(" ", 500)), 1, 500)), DATA_EO!A:A, 0)) &amp; " (Source: " &amp; INDEX(DATA_EO!B:B, MATCH(TRIM(MID(SUBSTITUTE(INDEX(DATA_KO!E:E, MATCH(1, DATA_KO!K:K, 0)), ",", REPT(" ", 500)), 1, 500)), DATA_EO!A:A, 0)) &amp; ", " &amp; INDEX(DATA_EO!J:J, MATCH(TRIM(MID(SUBSTITUTE(INDEX(DATA_KO!E:E, MATCH(1, DATA_KO!K:K, 0)), ",", REPT(" ", 500)), 1, 500)), DATA_EO!A:A, 0)) &amp; ")"), "")</f>
        <v/>
      </c>
    </row>
    <row r="47" hidden="1" outlineLevel="2" ht="15.75" customHeight="1" s="132">
      <c r="A47" s="239" t="n"/>
      <c r="B47" s="220">
        <f t="array" ref="B47">IFERROR(IF(INDEX(DATA_KO!A:A, MATCH(1, DATA_KO!K:K, 0))="","", IF(ISERROR(FIND(",", INDEX(DATA_KO!E:E, MATCH(1, DATA_KO!K:K, 0)))), "", "        • [[" &amp; TRIM(MID(SUBSTITUTE(INDEX(DATA_KO!E:E, MATCH(1, DATA_KO!K:K, 0)), ",", REPT(" ", 500)), 501, 500)) &amp; "]] — " &amp; INDEX(DATA_EO!L:L, MATCH(TRIM(MID(SUBSTITUTE(INDEX(DATA_KO!E:E, MATCH(1, DATA_KO!K:K, 0)), ",", REPT(" ", 500)), 501, 500)), DATA_EO!A:A, 0)) &amp; " (Source: " &amp; INDEX(DATA_EO!B:B, MATCH(TRIM(MID(SUBSTITUTE(INDEX(DATA_KO!E:E, MATCH(1, DATA_KO!K:K, 0)), ",", REPT(" ", 500)), 501, 500)), DATA_EO!A:A, 0)) &amp; ", " &amp; INDEX(DATA_EO!J:J, MATCH(TRIM(MID(SUBSTITUTE(INDEX(DATA_KO!E:E, MATCH(1, DATA_KO!K:K, 0)), ",", REPT(" ", 500)), 501, 500)), DATA_EO!A:A, 0)) &amp; ")")), "")</f>
        <v/>
      </c>
    </row>
    <row r="48" hidden="1" outlineLevel="2" ht="15.75" customHeight="1" s="132">
      <c r="A48" s="175" t="n"/>
      <c r="B48" s="220">
        <f t="array" ref="B48">IFERROR(IF(INDEX(DATA_KO!A:A, MATCH(1, DATA_KO!K:K, 0))="","", IF(LEN(INDEX(DATA_KO!E:E, MATCH(1, DATA_KO!K:K, 0)))-LEN(SUBSTITUTE(INDEX(DATA_KO!E:E, MATCH(1, DATA_KO!K:K, 0)), ",", "" ))&lt;2, "", "        • [[" &amp; TRIM(MID(SUBSTITUTE(INDEX(DATA_KO!E:E, MATCH(1, DATA_KO!K:K, 0)), ",", REPT(" ", 500)), 1001, 500)) &amp; "]] — " &amp; INDEX(DATA_EO!L:L, MATCH(TRIM(MID(SUBSTITUTE(INDEX(DATA_KO!E:E, MATCH(1, DATA_KO!K:K, 0)), ",", REPT(" ", 500)), 1001, 500)), DATA_EO!A:A, 0)) &amp; " (Source: " &amp; INDEX(DATA_EO!B:B, MATCH(TRIM(MID(SUBSTITUTE(INDEX(DATA_KO!E:E, MATCH(1, DATA_KO!K:K, 0)), ",", REPT(" ", 500)), 1001, 500)), DATA_EO!A:A, 0)) &amp; ", " &amp; INDEX(DATA_EO!J:J, MATCH(TRIM(MID(SUBSTITUTE(INDEX(DATA_KO!E:E, MATCH(1, DATA_KO!K:K, 0)), ",", REPT(" ", 500)), 1001, 500)), DATA_EO!A:A, 0)) &amp; ")")), "")</f>
        <v/>
      </c>
    </row>
    <row r="49" ht="15.75" customHeight="1" s="132">
      <c r="A49" s="243" t="n"/>
      <c r="B49" s="231" t="n"/>
      <c r="C49" s="232" t="n"/>
      <c r="D49" s="232" t="n"/>
      <c r="E49" s="232" t="n"/>
      <c r="F49" s="232" t="n"/>
      <c r="G49" s="232" t="n"/>
      <c r="H49" s="232" t="n"/>
    </row>
    <row r="50" ht="15.75" customHeight="1" s="132">
      <c r="A50" s="244">
        <f t="array" ref="A50">IFERROR(IF(INDEX(DATA_KO!A:A, MATCH(2, DATA_KO!K:K, 0))="","", "▼ Concept:"), "")</f>
        <v/>
      </c>
      <c r="B50" s="245">
        <f t="array" ref="B50">IFERROR(IF(INDEX(DATA_KO!A:A, MATCH(2, DATA_KO!K:K, 0))="","", INDEX(DATA_KO!B:B, MATCH(2, DATA_KO!K:K, 0))), "")</f>
        <v/>
      </c>
      <c r="E50" s="235">
        <f t="array" ref="E50">IFERROR(IF(INDEX(DATA_KO!A:A, MATCH(2, DATA_KO!K:K, 0))="","", "[[" &amp; INDEX(DATA_KO!A:A, MATCH(2, DATA_KO!K:K, 0)) &amp; "]]"), "")</f>
        <v/>
      </c>
      <c r="F50" s="236">
        <f t="array" ref="F50">IFERROR(IF(INDEX(DATA_KO!A:A, MATCH(2, DATA_KO!K:K, 0))="","", "IO: " &amp; INDEX(DATA_KO!R:R, MATCH(2, DATA_KO!K:K, 0)) &amp; " | EO: " &amp; INDEX(DATA_KO!Q:Q, MATCH(2, DATA_KO!K:K, 0)) &amp; " | Conf: " &amp; TEXT(INDEX(DATA_KO!G:G, MATCH(2, DATA_KO!K:K, 0)), "0.00")), "")</f>
        <v/>
      </c>
      <c r="G50" s="236">
        <f t="array" ref="G50">IFERROR(IF(INDEX(DATA_KO!A:A, MATCH(2, DATA_KO!K:K, 0))="","", "Domain: " &amp; INDEX(DATA_KO!C:C, MATCH(2, DATA_KO!K:K, 0))), "")</f>
        <v/>
      </c>
      <c r="H50" s="237">
        <f t="array" ref="H50">IFERROR(IF(INDEX(DATA_KO!A:A, MATCH(2, DATA_KO!K:K, 0))="","", HYPERLINK("#'04_Lineage_Explorer'!B6", "➔ [Inspect Lineage]")), "")</f>
        <v/>
      </c>
    </row>
    <row r="51" hidden="1" outlineLevel="1" ht="15.75" customHeight="1" s="132">
      <c r="A51" s="246" t="n"/>
      <c r="B51" s="247">
        <f t="array" ref="B51">IFERROR(IF(INDEX(DATA_KO!A:A, MATCH(2, DATA_KO!K:K, 0))="","", "    ▼ Supporting Interpretations (Layer 2) — " &amp; INDEX(DATA_KO!R:R, MATCH(2, DATA_KO!K:K, 0)) &amp; " Models"), "")</f>
        <v/>
      </c>
    </row>
    <row r="52" hidden="1" outlineLevel="2" ht="15.75" customHeight="1" s="132">
      <c r="A52" s="246" t="n"/>
      <c r="B52" s="248">
        <f t="array" ref="B52">IFERROR(IF(INDEX(DATA_KO!A:A, MATCH(2, DATA_KO!K:K, 0))="","", "        • [[" &amp; TRIM(MID(SUBSTITUTE(INDEX(DATA_KO!F:F, MATCH(2, DATA_KO!K:K, 0)), ",", REPT(" ", 500)), 1, 500)) &amp; "]] — " &amp; INDEX(DATA_IO!B:B, MATCH(TRIM(MID(SUBSTITUTE(INDEX(DATA_KO!F:F, MATCH(2, DATA_KO!K:K, 0)), ",", REPT(" ", 500)), 1, 500)), DATA_IO!A:A, 0))), "")</f>
        <v/>
      </c>
    </row>
    <row r="53" hidden="1" outlineLevel="2" ht="15.75" customHeight="1" s="132">
      <c r="A53" s="246" t="n"/>
      <c r="B53" s="248">
        <f t="array" ref="B53">IFERROR(IF(INDEX(DATA_KO!A:A, MATCH(2, DATA_KO!K:K, 0))="","", IF(ISERROR(FIND(",", INDEX(DATA_KO!F:F, MATCH(2, DATA_KO!K:K, 0)))), "", "        • [[" &amp; TRIM(MID(SUBSTITUTE(INDEX(DATA_KO!F:F, MATCH(2, DATA_KO!K:K, 0)), ",", REPT(" ", 500)), 501, 500)) &amp; "]] — " &amp; INDEX(DATA_IO!B:B, MATCH(TRIM(MID(SUBSTITUTE(INDEX(DATA_KO!F:F, MATCH(2, DATA_KO!K:K, 0)), ",", REPT(" ", 500)), 501, 500)), DATA_IO!A:A, 0)))), "")</f>
        <v/>
      </c>
    </row>
    <row r="54" hidden="1" outlineLevel="1" ht="15.75" customHeight="1" s="132">
      <c r="A54" s="246" t="n"/>
      <c r="B54" s="249">
        <f t="array" ref="B54">IFERROR(IF(INDEX(DATA_KO!A:A, MATCH(2, DATA_KO!K:K, 0))="","", "    ▼ Grounding Evidence (Layer 1) — " &amp; INDEX(DATA_KO!Q:Q, MATCH(2, DATA_KO!K:K, 0)) &amp; " Empirical Anchors"), "")</f>
        <v/>
      </c>
    </row>
    <row r="55" hidden="1" outlineLevel="2" ht="15.75" customHeight="1" s="132">
      <c r="A55" s="246" t="n"/>
      <c r="B55" s="248">
        <f t="array" ref="B55">IFERROR(IF(INDEX(DATA_KO!A:A, MATCH(2, DATA_KO!K:K, 0))="","", "        • [[" &amp; TRIM(MID(SUBSTITUTE(INDEX(DATA_KO!E:E, MATCH(2, DATA_KO!K:K, 0)), ",", REPT(" ", 500)), 1, 500)) &amp; "]] — " &amp; INDEX(DATA_EO!L:L, MATCH(TRIM(MID(SUBSTITUTE(INDEX(DATA_KO!E:E, MATCH(2, DATA_KO!K:K, 0)), ",", REPT(" ", 500)), 1, 500)), DATA_EO!A:A, 0)) &amp; " (Source: " &amp; INDEX(DATA_EO!B:B, MATCH(TRIM(MID(SUBSTITUTE(INDEX(DATA_KO!E:E, MATCH(2, DATA_KO!K:K, 0)), ",", REPT(" ", 500)), 1, 500)), DATA_EO!A:A, 0)) &amp; ", " &amp; INDEX(DATA_EO!J:J, MATCH(TRIM(MID(SUBSTITUTE(INDEX(DATA_KO!E:E, MATCH(2, DATA_KO!K:K, 0)), ",", REPT(" ", 500)), 1, 500)), DATA_EO!A:A, 0)) &amp; ")"), "")</f>
        <v/>
      </c>
    </row>
    <row r="56" hidden="1" outlineLevel="2" ht="15.75" customHeight="1" s="132">
      <c r="A56" s="246" t="n"/>
      <c r="B56" s="248">
        <f t="array" ref="B56">IFERROR(IF(INDEX(DATA_KO!A:A, MATCH(2, DATA_KO!K:K, 0))="","", IF(ISERROR(FIND(",", INDEX(DATA_KO!E:E, MATCH(2, DATA_KO!K:K, 0)))), "", "        • [[" &amp; TRIM(MID(SUBSTITUTE(INDEX(DATA_KO!E:E, MATCH(2, DATA_KO!K:K, 0)), ",", REPT(" ", 500)), 501, 500)) &amp; "]] — " &amp; INDEX(DATA_EO!L:L, MATCH(TRIM(MID(SUBSTITUTE(INDEX(DATA_KO!E:E, MATCH(2, DATA_KO!K:K, 0)), ",", REPT(" ", 500)), 501, 500)), DATA_EO!A:A, 0)) &amp; " (Source: " &amp; INDEX(DATA_EO!B:B, MATCH(TRIM(MID(SUBSTITUTE(INDEX(DATA_KO!E:E, MATCH(2, DATA_KO!K:K, 0)), ",", REPT(" ", 500)), 501, 500)), DATA_EO!A:A, 0)) &amp; ", " &amp; INDEX(DATA_EO!J:J, MATCH(TRIM(MID(SUBSTITUTE(INDEX(DATA_KO!E:E, MATCH(2, DATA_KO!K:K, 0)), ",", REPT(" ", 500)), 501, 500)), DATA_EO!A:A, 0)) &amp; ")")), "")</f>
        <v/>
      </c>
    </row>
    <row r="57" hidden="1" outlineLevel="2" ht="15.75" customHeight="1" s="132">
      <c r="A57" s="175" t="n"/>
      <c r="B57" s="220">
        <f t="array" ref="B57">IFERROR(IF(INDEX(DATA_KO!A:A, MATCH(2, DATA_KO!K:K, 0))="","", IF(LEN(INDEX(DATA_KO!E:E, MATCH(2, DATA_KO!K:K, 0)))-LEN(SUBSTITUTE(INDEX(DATA_KO!E:E, MATCH(2, DATA_KO!K:K, 0)), ",", "" ))&lt;2, "", "        • [[" &amp; TRIM(MID(SUBSTITUTE(INDEX(DATA_KO!E:E, MATCH(2, DATA_KO!K:K, 0)), ",", REPT(" ", 500)), 1001, 500)) &amp; "]] — " &amp; INDEX(DATA_EO!L:L, MATCH(TRIM(MID(SUBSTITUTE(INDEX(DATA_KO!E:E, MATCH(2, DATA_KO!K:K, 0)), ",", REPT(" ", 500)), 1001, 500)), DATA_EO!A:A, 0)) &amp; " (Source: " &amp; INDEX(DATA_EO!B:B, MATCH(TRIM(MID(SUBSTITUTE(INDEX(DATA_KO!E:E, MATCH(2, DATA_KO!K:K, 0)), ",", REPT(" ", 500)), 1001, 500)), DATA_EO!A:A, 0)) &amp; ", " &amp; INDEX(DATA_EO!J:J, MATCH(TRIM(MID(SUBSTITUTE(INDEX(DATA_KO!E:E, MATCH(2, DATA_KO!K:K, 0)), ",", REPT(" ", 500)), 1001, 500)), DATA_EO!A:A, 0)) &amp; ")")), "")</f>
        <v/>
      </c>
    </row>
    <row r="58" ht="15.75" customHeight="1" s="132">
      <c r="A58" s="243" t="n"/>
      <c r="B58" s="231" t="n"/>
      <c r="C58" s="232" t="n"/>
      <c r="D58" s="232" t="n"/>
      <c r="E58" s="232" t="n"/>
      <c r="F58" s="232" t="n"/>
      <c r="G58" s="232" t="n"/>
      <c r="H58" s="232" t="n"/>
    </row>
    <row r="59" ht="15.75" customHeight="1" s="132">
      <c r="A59" s="233">
        <f t="array" ref="A59">IFERROR(IF(INDEX(DATA_KO!A:A, MATCH(3, DATA_KO!K:K, 0))="","", "▼ Concept:"), "")</f>
        <v/>
      </c>
      <c r="B59" s="234">
        <f t="array" ref="B59">IFERROR(IF(INDEX(DATA_KO!A:A, MATCH(3, DATA_KO!K:K, 0))="","", INDEX(DATA_KO!B:B, MATCH(3, DATA_KO!K:K, 0))), "")</f>
        <v/>
      </c>
      <c r="E59" s="235">
        <f t="array" ref="E59">IFERROR(IF(INDEX(DATA_KO!A:A, MATCH(3, DATA_KO!K:K, 0))="","", "[[" &amp; INDEX(DATA_KO!A:A, MATCH(3, DATA_KO!K:K, 0)) &amp; "]]"), "")</f>
        <v/>
      </c>
      <c r="F59" s="236">
        <f t="array" ref="F59">IFERROR(IF(INDEX(DATA_KO!A:A, MATCH(3, DATA_KO!K:K, 0))="","", "IO: " &amp; INDEX(DATA_KO!R:R, MATCH(3, DATA_KO!K:K, 0)) &amp; " | EO: " &amp; INDEX(DATA_KO!Q:Q, MATCH(3, DATA_KO!K:K, 0)) &amp; " | Conf: " &amp; TEXT(INDEX(DATA_KO!G:G, MATCH(3, DATA_KO!K:K, 0)), "0.00")), "")</f>
        <v/>
      </c>
      <c r="G59" s="236">
        <f t="array" ref="G59">IFERROR(IF(INDEX(DATA_KO!A:A, MATCH(3, DATA_KO!K:K, 0))="","", "Domain: " &amp; INDEX(DATA_KO!C:C, MATCH(3, DATA_KO!K:K, 0))), "")</f>
        <v/>
      </c>
      <c r="H59" s="237">
        <f t="array" ref="H59">IFERROR(IF(INDEX(DATA_KO!A:A, MATCH(3, DATA_KO!K:K, 0))="","", HYPERLINK("#'04_Lineage_Explorer'!B6", "➔ [Inspect Lineage]")), "")</f>
        <v/>
      </c>
    </row>
    <row r="60" hidden="1" outlineLevel="1" ht="15.75" customHeight="1" s="132">
      <c r="A60" s="250" t="n"/>
      <c r="B60" s="231">
        <f t="array" ref="B60">IFERROR(IF(INDEX(DATA_KO!A:A, MATCH(3, DATA_KO!K:K, 0))="","", "    ▼ Supporting Interpretations (Layer 2) — " &amp; INDEX(DATA_KO!R:R, MATCH(3, DATA_KO!K:K, 0)) &amp; " Models"), "")</f>
        <v/>
      </c>
    </row>
    <row r="61" hidden="1" outlineLevel="2" ht="15.75" customHeight="1" s="132">
      <c r="A61" s="251" t="n"/>
      <c r="B61" s="220">
        <f t="array" ref="B61">IFERROR(IF(INDEX(DATA_KO!A:A, MATCH(3, DATA_KO!K:K, 0))="","", "        • [[" &amp; TRIM(MID(SUBSTITUTE(INDEX(DATA_KO!F:F, MATCH(3, DATA_KO!K:K, 0)), ",", REPT(" ", 500)), 1, 500)) &amp; "]] — " &amp; INDEX(DATA_IO!B:B, MATCH(TRIM(MID(SUBSTITUTE(INDEX(DATA_KO!F:F, MATCH(3, DATA_KO!K:K, 0)), ",", REPT(" ", 500)), 1, 500)), DATA_IO!A:A, 0))), "")</f>
        <v/>
      </c>
    </row>
    <row r="62" hidden="1" outlineLevel="2" ht="15.75" customHeight="1" s="132">
      <c r="A62" s="232" t="n"/>
      <c r="B62" s="220">
        <f t="array" ref="B62">IFERROR(IF(INDEX(DATA_KO!A:A, MATCH(3, DATA_KO!K:K, 0))="","", IF(ISERROR(FIND(",", INDEX(DATA_KO!F:F, MATCH(3, DATA_KO!K:K, 0)))), "", "        • [[" &amp; TRIM(MID(SUBSTITUTE(INDEX(DATA_KO!F:F, MATCH(3, DATA_KO!K:K, 0)), ",", REPT(" ", 500)), 501, 500)) &amp; "]] — " &amp; INDEX(DATA_IO!B:B, MATCH(TRIM(MID(SUBSTITUTE(INDEX(DATA_KO!F:F, MATCH(3, DATA_KO!K:K, 0)), ",", REPT(" ", 500)), 501, 500)), DATA_IO!A:A, 0)))), "")</f>
        <v/>
      </c>
    </row>
    <row r="63" hidden="1" outlineLevel="1" ht="15.75" customHeight="1" s="132">
      <c r="A63" s="232" t="n"/>
      <c r="B63" s="241">
        <f t="array" ref="B63">IFERROR(IF(INDEX(DATA_KO!A:A, MATCH(3, DATA_KO!K:K, 0))="","", "    ▼ Grounding Evidence (Layer 1) — " &amp; INDEX(DATA_KO!Q:Q, MATCH(3, DATA_KO!K:K, 0)) &amp; " Empirical Anchors"), "")</f>
        <v/>
      </c>
    </row>
    <row r="64" hidden="1" outlineLevel="2" ht="15.75" customHeight="1" s="132">
      <c r="A64" s="232" t="n"/>
      <c r="B64" s="220">
        <f t="array" ref="B64">IFERROR(IF(INDEX(DATA_KO!A:A, MATCH(3, DATA_KO!K:K, 0))="","", "        • [[" &amp; TRIM(MID(SUBSTITUTE(INDEX(DATA_KO!E:E, MATCH(3, DATA_KO!K:K, 0)), ",", REPT(" ", 500)), 1, 500)) &amp; "]] — " &amp; INDEX(DATA_EO!L:L, MATCH(TRIM(MID(SUBSTITUTE(INDEX(DATA_KO!E:E, MATCH(3, DATA_KO!K:K, 0)), ",", REPT(" ", 500)), 1, 500)), DATA_EO!A:A, 0)) &amp; " (Source: " &amp; INDEX(DATA_EO!B:B, MATCH(TRIM(MID(SUBSTITUTE(INDEX(DATA_KO!E:E, MATCH(3, DATA_KO!K:K, 0)), ",", REPT(" ", 500)), 1, 500)), DATA_EO!A:A, 0)) &amp; ", " &amp; INDEX(DATA_EO!J:J, MATCH(TRIM(MID(SUBSTITUTE(INDEX(DATA_KO!E:E, MATCH(3, DATA_KO!K:K, 0)), ",", REPT(" ", 500)), 1, 500)), DATA_EO!A:A, 0)) &amp; ")"), "")</f>
        <v/>
      </c>
    </row>
    <row r="65" hidden="1" outlineLevel="2" ht="15.75" customHeight="1" s="132">
      <c r="A65" s="232" t="n"/>
      <c r="B65" s="220">
        <f t="array" ref="B65">IFERROR(IF(INDEX(DATA_KO!A:A, MATCH(3, DATA_KO!K:K, 0))="","", IF(ISERROR(FIND(",", INDEX(DATA_KO!E:E, MATCH(3, DATA_KO!K:K, 0)))), "", "        • [[" &amp; TRIM(MID(SUBSTITUTE(INDEX(DATA_KO!E:E, MATCH(3, DATA_KO!K:K, 0)), ",", REPT(" ", 500)), 501, 500)) &amp; "]] — " &amp; INDEX(DATA_EO!L:L, MATCH(TRIM(MID(SUBSTITUTE(INDEX(DATA_KO!E:E, MATCH(3, DATA_KO!K:K, 0)), ",", REPT(" ", 500)), 501, 500)), DATA_EO!A:A, 0)) &amp; " (Source: " &amp; INDEX(DATA_EO!B:B, MATCH(TRIM(MID(SUBSTITUTE(INDEX(DATA_KO!E:E, MATCH(3, DATA_KO!K:K, 0)), ",", REPT(" ", 500)), 501, 500)), DATA_EO!A:A, 0)) &amp; ", " &amp; INDEX(DATA_EO!J:J, MATCH(TRIM(MID(SUBSTITUTE(INDEX(DATA_KO!E:E, MATCH(3, DATA_KO!K:K, 0)), ",", REPT(" ", 500)), 501, 500)), DATA_EO!A:A, 0)) &amp; ")")), "")</f>
        <v/>
      </c>
    </row>
    <row r="66" hidden="1" outlineLevel="2" ht="15.75" customHeight="1" s="132">
      <c r="A66" s="175" t="n"/>
      <c r="B66" s="220">
        <f t="array" ref="B66">IFERROR(IF(INDEX(DATA_KO!A:A, MATCH(3, DATA_KO!K:K, 0))="","", IF(LEN(INDEX(DATA_KO!E:E, MATCH(3, DATA_KO!K:K, 0)))-LEN(SUBSTITUTE(INDEX(DATA_KO!E:E, MATCH(3, DATA_KO!K:K, 0)), ",", "" ))&lt;2, "", "        • [[" &amp; TRIM(MID(SUBSTITUTE(INDEX(DATA_KO!E:E, MATCH(3, DATA_KO!K:K, 0)), ",", REPT(" ", 500)), 1001, 500)) &amp; "]] — " &amp; INDEX(DATA_EO!L:L, MATCH(TRIM(MID(SUBSTITUTE(INDEX(DATA_KO!E:E, MATCH(3, DATA_KO!K:K, 0)), ",", REPT(" ", 500)), 1001, 500)), DATA_EO!A:A, 0)) &amp; " (Source: " &amp; INDEX(DATA_EO!B:B, MATCH(TRIM(MID(SUBSTITUTE(INDEX(DATA_KO!E:E, MATCH(3, DATA_KO!K:K, 0)), ",", REPT(" ", 500)), 1001, 500)), DATA_EO!A:A, 0)) &amp; ", " &amp; INDEX(DATA_EO!J:J, MATCH(TRIM(MID(SUBSTITUTE(INDEX(DATA_KO!E:E, MATCH(3, DATA_KO!K:K, 0)), ",", REPT(" ", 500)), 1001, 500)), DATA_EO!A:A, 0)) &amp; ")")), "")</f>
        <v/>
      </c>
    </row>
    <row r="67" ht="15.75" customHeight="1" s="132">
      <c r="A67" s="232" t="n"/>
      <c r="B67" s="231" t="n"/>
      <c r="C67" s="232" t="n"/>
      <c r="D67" s="232" t="n"/>
      <c r="E67" s="232" t="n"/>
      <c r="F67" s="232" t="n"/>
      <c r="G67" s="232" t="n"/>
      <c r="H67" s="232" t="n"/>
    </row>
    <row r="68" ht="15.75" customHeight="1" s="132">
      <c r="A68" s="244">
        <f t="array" ref="A68">IFERROR(IF(INDEX(DATA_KO!A:A, MATCH(4, DATA_KO!K:K, 0))="","", "▼ Concept:"), "")</f>
        <v/>
      </c>
      <c r="B68" s="234">
        <f t="array" ref="B68">IFERROR(IF(INDEX(DATA_KO!A:A, MATCH(4, DATA_KO!K:K, 0))="","", INDEX(DATA_KO!B:B, MATCH(4, DATA_KO!K:K, 0))), "")</f>
        <v/>
      </c>
      <c r="E68" s="235">
        <f t="array" ref="E68">IFERROR(IF(INDEX(DATA_KO!A:A, MATCH(4, DATA_KO!K:K, 0))="","", "[[" &amp; INDEX(DATA_KO!A:A, MATCH(4, DATA_KO!K:K, 0)) &amp; "]]"), "")</f>
        <v/>
      </c>
      <c r="F68" s="236">
        <f t="array" ref="F68">IFERROR(IF(INDEX(DATA_KO!A:A, MATCH(4, DATA_KO!K:K, 0))="","", "IO: " &amp; INDEX(DATA_KO!R:R, MATCH(4, DATA_KO!K:K, 0)) &amp; " | EO: " &amp; INDEX(DATA_KO!Q:Q, MATCH(4, DATA_KO!K:K, 0)) &amp; " | Conf: " &amp; TEXT(INDEX(DATA_KO!G:G, MATCH(4, DATA_KO!K:K, 0)), "0.00")), "")</f>
        <v/>
      </c>
      <c r="G68" s="236">
        <f t="array" ref="G68">IFERROR(IF(INDEX(DATA_KO!A:A, MATCH(4, DATA_KO!K:K, 0))="","", "Domain: " &amp; INDEX(DATA_KO!C:C, MATCH(4, DATA_KO!K:K, 0))), "")</f>
        <v/>
      </c>
      <c r="H68" s="237">
        <f t="array" ref="H68">IFERROR(IF(INDEX(DATA_KO!A:A, MATCH(4, DATA_KO!K:K, 0))="","", HYPERLINK("#'04_Lineage_Explorer'!B6", "➔ [Inspect Lineage]")), "")</f>
        <v/>
      </c>
    </row>
    <row r="69" hidden="1" outlineLevel="1" ht="15.75" customHeight="1" s="132">
      <c r="A69" s="232" t="n"/>
      <c r="B69" s="231">
        <f t="array" ref="B69">IFERROR(IF(INDEX(DATA_KO!A:A, MATCH(4, DATA_KO!K:K, 0))="","", "    ▼ Supporting Interpretations (Layer 2) — " &amp; INDEX(DATA_KO!R:R, MATCH(4, DATA_KO!K:K, 0)) &amp; " Models"), "")</f>
        <v/>
      </c>
    </row>
    <row r="70" hidden="1" outlineLevel="2" ht="15.75" customHeight="1" s="132">
      <c r="A70" s="232" t="n"/>
      <c r="B70" s="220">
        <f t="array" ref="B70">IFERROR(IF(INDEX(DATA_KO!A:A, MATCH(4, DATA_KO!K:K, 0))="","", "        • [[" &amp; TRIM(MID(SUBSTITUTE(INDEX(DATA_KO!F:F, MATCH(4, DATA_KO!K:K, 0)), ",", REPT(" ", 500)), 1, 500)) &amp; "]] — " &amp; INDEX(DATA_IO!B:B, MATCH(TRIM(MID(SUBSTITUTE(INDEX(DATA_KO!F:F, MATCH(4, DATA_KO!K:K, 0)), ",", REPT(" ", 500)), 1, 500)), DATA_IO!A:A, 0))), "")</f>
        <v/>
      </c>
    </row>
    <row r="71" hidden="1" outlineLevel="2" ht="15.75" customHeight="1" s="132">
      <c r="A71" s="232" t="n"/>
      <c r="B71" s="220">
        <f t="array" ref="B71">IFERROR(IF(INDEX(DATA_KO!A:A, MATCH(4, DATA_KO!K:K, 0))="","", IF(ISERROR(FIND(",", INDEX(DATA_KO!F:F, MATCH(4, DATA_KO!K:K, 0)))), "", "        • [[" &amp; TRIM(MID(SUBSTITUTE(INDEX(DATA_KO!F:F, MATCH(4, DATA_KO!K:K, 0)), ",", REPT(" ", 500)), 501, 500)) &amp; "]] — " &amp; INDEX(DATA_IO!B:B, MATCH(TRIM(MID(SUBSTITUTE(INDEX(DATA_KO!F:F, MATCH(4, DATA_KO!K:K, 0)), ",", REPT(" ", 500)), 501, 500)), DATA_IO!A:A, 0)))), "")</f>
        <v/>
      </c>
    </row>
    <row r="72" hidden="1" outlineLevel="1" ht="15.75" customHeight="1" s="132">
      <c r="A72" s="232" t="n"/>
      <c r="B72" s="241">
        <f t="array" ref="B72">IFERROR(IF(INDEX(DATA_KO!A:A, MATCH(4, DATA_KO!K:K, 0))="","", "    ▼ Grounding Evidence (Layer 1) — " &amp; INDEX(DATA_KO!Q:Q, MATCH(4, DATA_KO!K:K, 0)) &amp; " Empirical Anchors"), "")</f>
        <v/>
      </c>
    </row>
    <row r="73" hidden="1" outlineLevel="2" ht="15.75" customHeight="1" s="132">
      <c r="A73" s="232" t="n"/>
      <c r="B73" s="220">
        <f t="array" ref="B73">IFERROR(IF(INDEX(DATA_KO!A:A, MATCH(4, DATA_KO!K:K, 0))="","", "        • [[" &amp; TRIM(MID(SUBSTITUTE(INDEX(DATA_KO!E:E, MATCH(4, DATA_KO!K:K, 0)), ",", REPT(" ", 500)), 1, 500)) &amp; "]] — " &amp; INDEX(DATA_EO!L:L, MATCH(TRIM(MID(SUBSTITUTE(INDEX(DATA_KO!E:E, MATCH(4, DATA_KO!K:K, 0)), ",", REPT(" ", 500)), 1, 500)), DATA_EO!A:A, 0)) &amp; " (Source: " &amp; INDEX(DATA_EO!B:B, MATCH(TRIM(MID(SUBSTITUTE(INDEX(DATA_KO!E:E, MATCH(4, DATA_KO!K:K, 0)), ",", REPT(" ", 500)), 1, 500)), DATA_EO!A:A, 0)) &amp; ", " &amp; INDEX(DATA_EO!J:J, MATCH(TRIM(MID(SUBSTITUTE(INDEX(DATA_KO!E:E, MATCH(4, DATA_KO!K:K, 0)), ",", REPT(" ", 500)), 1, 500)), DATA_EO!A:A, 0)) &amp; ")"), "")</f>
        <v/>
      </c>
    </row>
    <row r="74" hidden="1" outlineLevel="2" ht="15.75" customHeight="1" s="132">
      <c r="A74" s="232" t="n"/>
      <c r="B74" s="220">
        <f t="array" ref="B74">IFERROR(IF(INDEX(DATA_KO!A:A, MATCH(4, DATA_KO!K:K, 0))="","", IF(ISERROR(FIND(",", INDEX(DATA_KO!E:E, MATCH(4, DATA_KO!K:K, 0)))), "", "        • [[" &amp; TRIM(MID(SUBSTITUTE(INDEX(DATA_KO!E:E, MATCH(4, DATA_KO!K:K, 0)), ",", REPT(" ", 500)), 501, 500)) &amp; "]] — " &amp; INDEX(DATA_EO!L:L, MATCH(TRIM(MID(SUBSTITUTE(INDEX(DATA_KO!E:E, MATCH(4, DATA_KO!K:K, 0)), ",", REPT(" ", 500)), 501, 500)), DATA_EO!A:A, 0)) &amp; " (Source: " &amp; INDEX(DATA_EO!B:B, MATCH(TRIM(MID(SUBSTITUTE(INDEX(DATA_KO!E:E, MATCH(4, DATA_KO!K:K, 0)), ",", REPT(" ", 500)), 501, 500)), DATA_EO!A:A, 0)) &amp; ", " &amp; INDEX(DATA_EO!J:J, MATCH(TRIM(MID(SUBSTITUTE(INDEX(DATA_KO!E:E, MATCH(4, DATA_KO!K:K, 0)), ",", REPT(" ", 500)), 501, 500)), DATA_EO!A:A, 0)) &amp; ")")), "")</f>
        <v/>
      </c>
    </row>
    <row r="75" hidden="1" outlineLevel="2" ht="15.75" customHeight="1" s="132">
      <c r="A75" s="175" t="n"/>
      <c r="B75" s="220">
        <f t="array" ref="B75">IFERROR(IF(INDEX(DATA_KO!A:A, MATCH(4, DATA_KO!K:K, 0))="","", IF(LEN(INDEX(DATA_KO!E:E, MATCH(4, DATA_KO!K:K, 0)))-LEN(SUBSTITUTE(INDEX(DATA_KO!E:E, MATCH(4, DATA_KO!K:K, 0)), ",", "" ))&lt;2, "", "        • [[" &amp; TRIM(MID(SUBSTITUTE(INDEX(DATA_KO!E:E, MATCH(4, DATA_KO!K:K, 0)), ",", REPT(" ", 500)), 1001, 500)) &amp; "]] — " &amp; INDEX(DATA_EO!L:L, MATCH(TRIM(MID(SUBSTITUTE(INDEX(DATA_KO!E:E, MATCH(4, DATA_KO!K:K, 0)), ",", REPT(" ", 500)), 1001, 500)), DATA_EO!A:A, 0)) &amp; " (Source: " &amp; INDEX(DATA_EO!B:B, MATCH(TRIM(MID(SUBSTITUTE(INDEX(DATA_KO!E:E, MATCH(4, DATA_KO!K:K, 0)), ",", REPT(" ", 500)), 1001, 500)), DATA_EO!A:A, 0)) &amp; ", " &amp; INDEX(DATA_EO!J:J, MATCH(TRIM(MID(SUBSTITUTE(INDEX(DATA_KO!E:E, MATCH(4, DATA_KO!K:K, 0)), ",", REPT(" ", 500)), 1001, 500)), DATA_EO!A:A, 0)) &amp; ")")), "")</f>
        <v/>
      </c>
    </row>
    <row r="76" ht="15.75" customHeight="1" s="132">
      <c r="A76" s="232" t="n"/>
      <c r="B76" s="231" t="n"/>
      <c r="C76" s="232" t="n"/>
      <c r="D76" s="232" t="n"/>
      <c r="E76" s="232" t="n"/>
      <c r="F76" s="232" t="n"/>
      <c r="G76" s="232" t="n"/>
      <c r="H76" s="232" t="n"/>
    </row>
    <row r="77" ht="15.75" customHeight="1" s="132">
      <c r="A77" s="244">
        <f t="array" ref="A77">IFERROR(IF(INDEX(DATA_KO!A:A, MATCH(5, DATA_KO!K:K, 0))="","", "▼ Concept:"), "")</f>
        <v/>
      </c>
      <c r="B77" s="234">
        <f t="array" ref="B77">IFERROR(IF(INDEX(DATA_KO!A:A, MATCH(5, DATA_KO!K:K, 0))="","", INDEX(DATA_KO!B:B, MATCH(5, DATA_KO!K:K, 0))), "")</f>
        <v/>
      </c>
      <c r="E77" s="235">
        <f t="array" ref="E77">IFERROR(IF(INDEX(DATA_KO!A:A, MATCH(5, DATA_KO!K:K, 0))="","", "[[" &amp; INDEX(DATA_KO!A:A, MATCH(5, DATA_KO!K:K, 0)) &amp; "]]"), "")</f>
        <v/>
      </c>
      <c r="F77" s="236">
        <f t="array" ref="F77">IFERROR(IF(INDEX(DATA_KO!A:A, MATCH(5, DATA_KO!K:K, 0))="","", "IO: " &amp; INDEX(DATA_KO!R:R, MATCH(5, DATA_KO!K:K, 0)) &amp; " | EO: " &amp; INDEX(DATA_KO!Q:Q, MATCH(5, DATA_KO!K:K, 0)) &amp; " | Conf: " &amp; TEXT(INDEX(DATA_KO!G:G, MATCH(5, DATA_KO!K:K, 0)), "0.00")), "")</f>
        <v/>
      </c>
      <c r="G77" s="236">
        <f t="array" ref="G77">IFERROR(IF(INDEX(DATA_KO!A:A, MATCH(5, DATA_KO!K:K, 0))="","", "Domain: " &amp; INDEX(DATA_KO!C:C, MATCH(5, DATA_KO!K:K, 0))), "")</f>
        <v/>
      </c>
      <c r="H77" s="237">
        <f t="array" ref="H77">IFERROR(IF(INDEX(DATA_KO!A:A, MATCH(5, DATA_KO!K:K, 0))="","", HYPERLINK("#'04_Lineage_Explorer'!B6", "➔ [Inspect Lineage]")), "")</f>
        <v/>
      </c>
    </row>
    <row r="78" hidden="1" outlineLevel="1" ht="15.75" customHeight="1" s="132">
      <c r="A78" s="232" t="n"/>
      <c r="B78" s="231">
        <f t="array" ref="B78">IFERROR(IF(INDEX(DATA_KO!A:A, MATCH(5, DATA_KO!K:K, 0))="","", "    ▼ Supporting Interpretations (Layer 2) — " &amp; INDEX(DATA_KO!R:R, MATCH(5, DATA_KO!K:K, 0)) &amp; " Models"), "")</f>
        <v/>
      </c>
    </row>
    <row r="79" hidden="1" outlineLevel="2" ht="15.75" customHeight="1" s="132">
      <c r="A79" s="232" t="n"/>
      <c r="B79" s="220">
        <f t="array" ref="B79">IFERROR(IF(INDEX(DATA_KO!A:A, MATCH(5, DATA_KO!K:K, 0))="","", "        • [[" &amp; TRIM(MID(SUBSTITUTE(INDEX(DATA_KO!F:F, MATCH(5, DATA_KO!K:K, 0)), ",", REPT(" ", 500)), 1, 500)) &amp; "]] — " &amp; INDEX(DATA_IO!B:B, MATCH(TRIM(MID(SUBSTITUTE(INDEX(DATA_KO!F:F, MATCH(5, DATA_KO!K:K, 0)), ",", REPT(" ", 500)), 1, 500)), DATA_IO!A:A, 0))), "")</f>
        <v/>
      </c>
    </row>
    <row r="80" hidden="1" outlineLevel="2" ht="15.75" customHeight="1" s="132">
      <c r="A80" s="232" t="n"/>
      <c r="B80" s="220">
        <f t="array" ref="B80">IFERROR(IF(INDEX(DATA_KO!A:A, MATCH(5, DATA_KO!K:K, 0))="","", IF(ISERROR(FIND(",", INDEX(DATA_KO!F:F, MATCH(5, DATA_KO!K:K, 0)))), "", "        • [[" &amp; TRIM(MID(SUBSTITUTE(INDEX(DATA_KO!F:F, MATCH(5, DATA_KO!K:K, 0)), ",", REPT(" ", 500)), 501, 500)) &amp; "]] — " &amp; INDEX(DATA_IO!B:B, MATCH(TRIM(MID(SUBSTITUTE(INDEX(DATA_KO!F:F, MATCH(5, DATA_KO!K:K, 0)), ",", REPT(" ", 500)), 501, 500)), DATA_IO!A:A, 0)))), "")</f>
        <v/>
      </c>
    </row>
    <row r="81" hidden="1" outlineLevel="1" ht="15.75" customHeight="1" s="132">
      <c r="A81" s="232" t="n"/>
      <c r="B81" s="241">
        <f t="array" ref="B81">IFERROR(IF(INDEX(DATA_KO!A:A, MATCH(5, DATA_KO!K:K, 0))="","", "    ▼ Grounding Evidence (Layer 1) — " &amp; INDEX(DATA_KO!Q:Q, MATCH(5, DATA_KO!K:K, 0)) &amp; " Empirical Anchors"), "")</f>
        <v/>
      </c>
    </row>
    <row r="82" hidden="1" outlineLevel="2" ht="15.75" customHeight="1" s="132">
      <c r="A82" s="232" t="n"/>
      <c r="B82" s="220">
        <f t="array" ref="B82">IFERROR(IF(INDEX(DATA_KO!A:A, MATCH(5, DATA_KO!K:K, 0))="","", "        • [[" &amp; TRIM(MID(SUBSTITUTE(INDEX(DATA_KO!E:E, MATCH(5, DATA_KO!K:K, 0)), ",", REPT(" ", 500)), 1, 500)) &amp; "]] — " &amp; INDEX(DATA_EO!L:L, MATCH(TRIM(MID(SUBSTITUTE(INDEX(DATA_KO!E:E, MATCH(5, DATA_KO!K:K, 0)), ",", REPT(" ", 500)), 1, 500)), DATA_EO!A:A, 0)) &amp; " (Source: " &amp; INDEX(DATA_EO!B:B, MATCH(TRIM(MID(SUBSTITUTE(INDEX(DATA_KO!E:E, MATCH(5, DATA_KO!K:K, 0)), ",", REPT(" ", 500)), 1, 500)), DATA_EO!A:A, 0)) &amp; ", " &amp; INDEX(DATA_EO!J:J, MATCH(TRIM(MID(SUBSTITUTE(INDEX(DATA_KO!E:E, MATCH(5, DATA_KO!K:K, 0)), ",", REPT(" ", 500)), 1, 500)), DATA_EO!A:A, 0)) &amp; ")"), "")</f>
        <v/>
      </c>
    </row>
    <row r="83" hidden="1" outlineLevel="2" ht="15.75" customHeight="1" s="132">
      <c r="A83" s="232" t="n"/>
      <c r="B83" s="220">
        <f t="array" ref="B83">IFERROR(IF(INDEX(DATA_KO!A:A, MATCH(5, DATA_KO!K:K, 0))="","", IF(ISERROR(FIND(",", INDEX(DATA_KO!E:E, MATCH(5, DATA_KO!K:K, 0)))), "", "        • [[" &amp; TRIM(MID(SUBSTITUTE(INDEX(DATA_KO!E:E, MATCH(5, DATA_KO!K:K, 0)), ",", REPT(" ", 500)), 501, 500)) &amp; "]] — " &amp; INDEX(DATA_EO!L:L, MATCH(TRIM(MID(SUBSTITUTE(INDEX(DATA_KO!E:E, MATCH(5, DATA_KO!K:K, 0)), ",", REPT(" ", 500)), 501, 500)), DATA_EO!A:A, 0)) &amp; " (Source: " &amp; INDEX(DATA_EO!B:B, MATCH(TRIM(MID(SUBSTITUTE(INDEX(DATA_KO!E:E, MATCH(5, DATA_KO!K:K, 0)), ",", REPT(" ", 500)), 501, 500)), DATA_EO!A:A, 0)) &amp; ", " &amp; INDEX(DATA_EO!J:J, MATCH(TRIM(MID(SUBSTITUTE(INDEX(DATA_KO!E:E, MATCH(5, DATA_KO!K:K, 0)), ",", REPT(" ", 500)), 501, 500)), DATA_EO!A:A, 0)) &amp; ")")), "")</f>
        <v/>
      </c>
    </row>
    <row r="84" hidden="1" outlineLevel="2" ht="15.75" customHeight="1" s="132">
      <c r="A84" s="252" t="n"/>
      <c r="B84" s="220">
        <f t="array" ref="B84">IFERROR(IF(INDEX(DATA_KO!A:A, MATCH(5, DATA_KO!K:K, 0))="","", IF(LEN(INDEX(DATA_KO!E:E, MATCH(5, DATA_KO!K:K, 0)))-LEN(SUBSTITUTE(INDEX(DATA_KO!E:E, MATCH(5, DATA_KO!K:K, 0)), ",", "" ))&lt;2, "", "        • [[" &amp; TRIM(MID(SUBSTITUTE(INDEX(DATA_KO!E:E, MATCH(5, DATA_KO!K:K, 0)), ",", REPT(" ", 500)), 1001, 500)) &amp; "]] — " &amp; INDEX(DATA_EO!L:L, MATCH(TRIM(MID(SUBSTITUTE(INDEX(DATA_KO!E:E, MATCH(5, DATA_KO!K:K, 0)), ",", REPT(" ", 500)), 1001, 500)), DATA_EO!A:A, 0)) &amp; " (Source: " &amp; INDEX(DATA_EO!B:B, MATCH(TRIM(MID(SUBSTITUTE(INDEX(DATA_KO!E:E, MATCH(5, DATA_KO!K:K, 0)), ",", REPT(" ", 500)), 1001, 500)), DATA_EO!A:A, 0)) &amp; ", " &amp; INDEX(DATA_EO!J:J, MATCH(TRIM(MID(SUBSTITUTE(INDEX(DATA_KO!E:E, MATCH(5, DATA_KO!K:K, 0)), ",", REPT(" ", 500)), 1001, 500)), DATA_EO!A:A, 0)) &amp; ")")), "")</f>
        <v/>
      </c>
    </row>
    <row r="85" ht="15.75" customHeight="1" s="132">
      <c r="A85" s="175" t="n"/>
      <c r="B85" s="219" t="n"/>
      <c r="C85" s="232" t="n"/>
      <c r="D85" s="232" t="n"/>
      <c r="E85" s="175" t="n"/>
      <c r="F85" s="206" t="n"/>
      <c r="G85" s="175" t="n"/>
      <c r="H85" s="206" t="n"/>
    </row>
    <row r="86" ht="15.75" customHeight="1" s="132">
      <c r="A86" s="244">
        <f t="array" ref="A86">IFERROR(IF(INDEX(DATA_KO!A:A, MATCH(6, DATA_KO!K:K, 0))="","", "▼ Concept:"), "")</f>
        <v/>
      </c>
      <c r="B86" s="234">
        <f t="array" ref="B86">IFERROR(IF(INDEX(DATA_KO!A:A, MATCH(6, DATA_KO!K:K, 0))="","", INDEX(DATA_KO!B:B, MATCH(6, DATA_KO!K:K, 0))), "")</f>
        <v/>
      </c>
      <c r="E86" s="235">
        <f t="array" ref="E86">IFERROR(IF(INDEX(DATA_KO!A:A, MATCH(6, DATA_KO!K:K, 0))="","", "[[" &amp; INDEX(DATA_KO!A:A, MATCH(6, DATA_KO!K:K, 0)) &amp; "]]"), "")</f>
        <v/>
      </c>
      <c r="F86" s="236">
        <f t="array" ref="F86">IFERROR(IF(INDEX(DATA_KO!A:A, MATCH(6, DATA_KO!K:K, 0))="","", "IO: " &amp; INDEX(DATA_KO!R:R, MATCH(6, DATA_KO!K:K, 0)) &amp; " | EO: " &amp; INDEX(DATA_KO!Q:Q, MATCH(6, DATA_KO!K:K, 0)) &amp; " | Conf: " &amp; TEXT(INDEX(DATA_KO!G:G, MATCH(6, DATA_KO!K:K, 0)), "0.00")), "")</f>
        <v/>
      </c>
      <c r="G86" s="236">
        <f t="array" ref="G86">IFERROR(IF(INDEX(DATA_KO!A:A, MATCH(6, DATA_KO!K:K, 0))="","", "Domain: " &amp; INDEX(DATA_KO!C:C, MATCH(6, DATA_KO!K:K, 0))), "")</f>
        <v/>
      </c>
      <c r="H86" s="237">
        <f t="array" ref="H86">IFERROR(IF(INDEX(DATA_KO!A:A, MATCH(6, DATA_KO!K:K, 0))="","", HYPERLINK("#'04_Lineage_Explorer'!B6", "➔ [Inspect Lineage]")), "")</f>
        <v/>
      </c>
    </row>
    <row r="87" hidden="1" outlineLevel="1" ht="15.75" customHeight="1" s="132">
      <c r="A87" s="175" t="n"/>
      <c r="B87" s="231">
        <f t="array" ref="B87">IFERROR(IF(INDEX(DATA_KO!A:A, MATCH(6, DATA_KO!K:K, 0))="","", "    ▼ Supporting Interpretations (Layer 2) — " &amp; INDEX(DATA_KO!R:R, MATCH(6, DATA_KO!K:K, 0)) &amp; " Models"), "")</f>
        <v/>
      </c>
    </row>
    <row r="88" hidden="1" outlineLevel="2" ht="15.75" customHeight="1" s="132">
      <c r="A88" s="175" t="n"/>
      <c r="B88" s="220">
        <f t="array" ref="B88">IFERROR(IF(INDEX(DATA_KO!A:A, MATCH(6, DATA_KO!K:K, 0))="","", "        • [[" &amp; TRIM(MID(SUBSTITUTE(INDEX(DATA_KO!F:F, MATCH(6, DATA_KO!K:K, 0)), ",", REPT(" ", 500)), 1, 500)) &amp; "]] — " &amp; INDEX(DATA_IO!B:B, MATCH(TRIM(MID(SUBSTITUTE(INDEX(DATA_KO!F:F, MATCH(6, DATA_KO!K:K, 0)), ",", REPT(" ", 500)), 1, 500)), DATA_IO!A:A, 0))), "")</f>
        <v/>
      </c>
    </row>
    <row r="89" hidden="1" outlineLevel="2" ht="15.75" customHeight="1" s="132">
      <c r="A89" s="175" t="n"/>
      <c r="B89" s="220">
        <f t="array" ref="B89">IFERROR(IF(INDEX(DATA_KO!A:A, MATCH(6, DATA_KO!K:K, 0))="","", IF(ISERROR(FIND(",", INDEX(DATA_KO!F:F, MATCH(6, DATA_KO!K:K, 0)))), "", "        • [[" &amp; TRIM(MID(SUBSTITUTE(INDEX(DATA_KO!F:F, MATCH(6, DATA_KO!K:K, 0)), ",", REPT(" ", 500)), 501, 500)) &amp; "]] — " &amp; INDEX(DATA_IO!B:B, MATCH(TRIM(MID(SUBSTITUTE(INDEX(DATA_KO!F:F, MATCH(6, DATA_KO!K:K, 0)), ",", REPT(" ", 500)), 501, 500)), DATA_IO!A:A, 0)))), "")</f>
        <v/>
      </c>
    </row>
    <row r="90" hidden="1" outlineLevel="1" ht="15.75" customHeight="1" s="132">
      <c r="A90" s="175" t="n"/>
      <c r="B90" s="241">
        <f t="array" ref="B90">IFERROR(IF(INDEX(DATA_KO!A:A, MATCH(6, DATA_KO!K:K, 0))="","", "    ▼ Grounding Evidence (Layer 1) — " &amp; INDEX(DATA_KO!Q:Q, MATCH(6, DATA_KO!K:K, 0)) &amp; " Empirical Anchors"), "")</f>
        <v/>
      </c>
    </row>
    <row r="91" hidden="1" outlineLevel="2" ht="15.75" customHeight="1" s="132">
      <c r="A91" s="252" t="n"/>
      <c r="B91" s="220">
        <f t="array" ref="B91">IFERROR(IF(INDEX(DATA_KO!A:A, MATCH(6, DATA_KO!K:K, 0))="","", "        • [[" &amp; TRIM(MID(SUBSTITUTE(INDEX(DATA_KO!E:E, MATCH(6, DATA_KO!K:K, 0)), ",", REPT(" ", 500)), 1, 500)) &amp; "]] — " &amp; INDEX(DATA_EO!L:L, MATCH(TRIM(MID(SUBSTITUTE(INDEX(DATA_KO!E:E, MATCH(6, DATA_KO!K:K, 0)), ",", REPT(" ", 500)), 1, 500)), DATA_EO!A:A, 0)) &amp; " (Source: " &amp; INDEX(DATA_EO!B:B, MATCH(TRIM(MID(SUBSTITUTE(INDEX(DATA_KO!E:E, MATCH(6, DATA_KO!K:K, 0)), ",", REPT(" ", 500)), 1, 500)), DATA_EO!A:A, 0)) &amp; ", " &amp; INDEX(DATA_EO!J:J, MATCH(TRIM(MID(SUBSTITUTE(INDEX(DATA_KO!E:E, MATCH(6, DATA_KO!K:K, 0)), ",", REPT(" ", 500)), 1, 500)), DATA_EO!A:A, 0)) &amp; ")"), "")</f>
        <v/>
      </c>
    </row>
    <row r="92" hidden="1" outlineLevel="2" ht="15.75" customHeight="1" s="132">
      <c r="A92" s="253" t="n"/>
      <c r="B92" s="220">
        <f t="array" ref="B92">IFERROR(IF(INDEX(DATA_KO!A:A, MATCH(6, DATA_KO!K:K, 0))="","", IF(ISERROR(FIND(",", INDEX(DATA_KO!E:E, MATCH(6, DATA_KO!K:K, 0)))), "", "        • [[" &amp; TRIM(MID(SUBSTITUTE(INDEX(DATA_KO!E:E, MATCH(6, DATA_KO!K:K, 0)), ",", REPT(" ", 500)), 501, 500)) &amp; "]] — " &amp; INDEX(DATA_EO!L:L, MATCH(TRIM(MID(SUBSTITUTE(INDEX(DATA_KO!E:E, MATCH(6, DATA_KO!K:K, 0)), ",", REPT(" ", 500)), 501, 500)), DATA_EO!A:A, 0)) &amp; " (Source: " &amp; INDEX(DATA_EO!B:B, MATCH(TRIM(MID(SUBSTITUTE(INDEX(DATA_KO!E:E, MATCH(6, DATA_KO!K:K, 0)), ",", REPT(" ", 500)), 501, 500)), DATA_EO!A:A, 0)) &amp; ", " &amp; INDEX(DATA_EO!J:J, MATCH(TRIM(MID(SUBSTITUTE(INDEX(DATA_KO!E:E, MATCH(6, DATA_KO!K:K, 0)), ",", REPT(" ", 500)), 501, 500)), DATA_EO!A:A, 0)) &amp; ")")), "")</f>
        <v/>
      </c>
    </row>
    <row r="93" hidden="1" outlineLevel="2" ht="15.75" customHeight="1" s="132">
      <c r="A93" s="175" t="n"/>
      <c r="B93" s="220">
        <f t="array" ref="B93">IFERROR(IF(INDEX(DATA_KO!A:A, MATCH(6, DATA_KO!K:K, 0))="","", IF(LEN(INDEX(DATA_KO!E:E, MATCH(6, DATA_KO!K:K, 0)))-LEN(SUBSTITUTE(INDEX(DATA_KO!E:E, MATCH(6, DATA_KO!K:K, 0)), ",", "" ))&lt;2, "", "        • [[" &amp; TRIM(MID(SUBSTITUTE(INDEX(DATA_KO!E:E, MATCH(6, DATA_KO!K:K, 0)), ",", REPT(" ", 500)), 1001, 500)) &amp; "]] — " &amp; INDEX(DATA_EO!L:L, MATCH(TRIM(MID(SUBSTITUTE(INDEX(DATA_KO!E:E, MATCH(6, DATA_KO!K:K, 0)), ",", REPT(" ", 500)), 1001, 500)), DATA_EO!A:A, 0)) &amp; " (Source: " &amp; INDEX(DATA_EO!B:B, MATCH(TRIM(MID(SUBSTITUTE(INDEX(DATA_KO!E:E, MATCH(6, DATA_KO!K:K, 0)), ",", REPT(" ", 500)), 1001, 500)), DATA_EO!A:A, 0)) &amp; ", " &amp; INDEX(DATA_EO!J:J, MATCH(TRIM(MID(SUBSTITUTE(INDEX(DATA_KO!E:E, MATCH(6, DATA_KO!K:K, 0)), ",", REPT(" ", 500)), 1001, 500)), DATA_EO!A:A, 0)) &amp; ")")), "")</f>
        <v/>
      </c>
    </row>
    <row r="94" ht="15.75" customHeight="1" s="132">
      <c r="A94" s="175" t="n"/>
      <c r="B94" s="206" t="n"/>
      <c r="C94" s="232" t="n"/>
      <c r="D94" s="232" t="n"/>
      <c r="E94" s="232" t="n"/>
      <c r="F94" s="232" t="n"/>
      <c r="G94" s="232" t="n"/>
      <c r="H94" s="232" t="n"/>
    </row>
    <row r="95" ht="15.75" customHeight="1" s="132">
      <c r="A95" s="244">
        <f t="array" ref="A95">IFERROR(IF(INDEX(DATA_KO!A:A, MATCH(7, DATA_KO!K:K, 0))="","", "▼ Concept:"), "")</f>
        <v/>
      </c>
      <c r="B95" s="234">
        <f t="array" ref="B95">IFERROR(IF(INDEX(DATA_KO!A:A, MATCH(7, DATA_KO!K:K, 0))="","", INDEX(DATA_KO!B:B, MATCH(7, DATA_KO!K:K, 0))), "")</f>
        <v/>
      </c>
      <c r="E95" s="235">
        <f t="array" ref="E95">IFERROR(IF(INDEX(DATA_KO!A:A, MATCH(7, DATA_KO!K:K, 0))="","", "[[" &amp; INDEX(DATA_KO!A:A, MATCH(7, DATA_KO!K:K, 0)) &amp; "]]"), "")</f>
        <v/>
      </c>
      <c r="F95" s="236">
        <f t="array" ref="F95">IFERROR(IF(INDEX(DATA_KO!A:A, MATCH(7, DATA_KO!K:K, 0))="","", "IO: " &amp; INDEX(DATA_KO!R:R, MATCH(7, DATA_KO!K:K, 0)) &amp; " | EO: " &amp; INDEX(DATA_KO!Q:Q, MATCH(7, DATA_KO!K:K, 0)) &amp; " | Conf: " &amp; TEXT(INDEX(DATA_KO!G:G, MATCH(7, DATA_KO!K:K, 0)), "0.00")), "")</f>
        <v/>
      </c>
      <c r="G95" s="236">
        <f t="array" ref="G95">IFERROR(IF(INDEX(DATA_KO!A:A, MATCH(7, DATA_KO!K:K, 0))="","", "Domain: " &amp; INDEX(DATA_KO!C:C, MATCH(7, DATA_KO!K:K, 0))), "")</f>
        <v/>
      </c>
      <c r="H95" s="237">
        <f t="array" ref="H95">IFERROR(IF(INDEX(DATA_KO!A:A, MATCH(7, DATA_KO!K:K, 0))="","", HYPERLINK("#'04_Lineage_Explorer'!B6", "➔ [Inspect Lineage]")), "")</f>
        <v/>
      </c>
    </row>
    <row r="96" hidden="1" outlineLevel="1" ht="15.75" customHeight="1" s="132">
      <c r="A96" s="220" t="n"/>
      <c r="B96" s="231">
        <f t="array" ref="B96">IFERROR(IF(INDEX(DATA_KO!A:A, MATCH(7, DATA_KO!K:K, 0))="","", "    ▼ Supporting Interpretations (Layer 2) — " &amp; INDEX(DATA_KO!R:R, MATCH(7, DATA_KO!K:K, 0)) &amp; " Models"), "")</f>
        <v/>
      </c>
    </row>
    <row r="97" hidden="1" outlineLevel="2" ht="15.75" customHeight="1" s="132">
      <c r="A97" s="232" t="n"/>
      <c r="B97" s="220">
        <f t="array" ref="B97">IFERROR(IF(INDEX(DATA_KO!A:A, MATCH(7, DATA_KO!K:K, 0))="","", "        • [[" &amp; TRIM(MID(SUBSTITUTE(INDEX(DATA_KO!F:F, MATCH(7, DATA_KO!K:K, 0)), ",", REPT(" ", 500)), 1, 500)) &amp; "]] — " &amp; INDEX(DATA_IO!B:B, MATCH(TRIM(MID(SUBSTITUTE(INDEX(DATA_KO!F:F, MATCH(7, DATA_KO!K:K, 0)), ",", REPT(" ", 500)), 1, 500)), DATA_IO!A:A, 0))), "")</f>
        <v/>
      </c>
    </row>
    <row r="98" hidden="1" outlineLevel="2" ht="15.75" customHeight="1" s="132">
      <c r="A98" s="232" t="n"/>
      <c r="B98" s="220">
        <f t="array" ref="B98">IFERROR(IF(INDEX(DATA_KO!A:A, MATCH(7, DATA_KO!K:K, 0))="","", IF(ISERROR(FIND(",", INDEX(DATA_KO!F:F, MATCH(7, DATA_KO!K:K, 0)))), "", "        • [[" &amp; TRIM(MID(SUBSTITUTE(INDEX(DATA_KO!F:F, MATCH(7, DATA_KO!K:K, 0)), ",", REPT(" ", 500)), 501, 500)) &amp; "]] — " &amp; INDEX(DATA_IO!B:B, MATCH(TRIM(MID(SUBSTITUTE(INDEX(DATA_KO!F:F, MATCH(7, DATA_KO!K:K, 0)), ",", REPT(" ", 500)), 501, 500)), DATA_IO!A:A, 0)))), "")</f>
        <v/>
      </c>
    </row>
    <row r="99" hidden="1" outlineLevel="1" ht="15.75" customHeight="1" s="132">
      <c r="A99" s="232" t="n"/>
      <c r="B99" s="241">
        <f t="array" ref="B99">IFERROR(IF(INDEX(DATA_KO!A:A, MATCH(7, DATA_KO!K:K, 0))="","", "    ▼ Grounding Evidence (Layer 1) — " &amp; INDEX(DATA_KO!Q:Q, MATCH(7, DATA_KO!K:K, 0)) &amp; " Empirical Anchors"), "")</f>
        <v/>
      </c>
    </row>
    <row r="100" hidden="1" outlineLevel="2" ht="15.75" customHeight="1" s="132">
      <c r="A100" s="232" t="n"/>
      <c r="B100" s="220">
        <f t="array" ref="B100">IFERROR(IF(INDEX(DATA_KO!A:A, MATCH(7, DATA_KO!K:K, 0))="","", "        • [[" &amp; TRIM(MID(SUBSTITUTE(INDEX(DATA_KO!E:E, MATCH(7, DATA_KO!K:K, 0)), ",", REPT(" ", 500)), 1, 500)) &amp; "]] — " &amp; INDEX(DATA_EO!L:L, MATCH(TRIM(MID(SUBSTITUTE(INDEX(DATA_KO!E:E, MATCH(7, DATA_KO!K:K, 0)), ",", REPT(" ", 500)), 1, 500)), DATA_EO!A:A, 0)) &amp; " (Source: " &amp; INDEX(DATA_EO!B:B, MATCH(TRIM(MID(SUBSTITUTE(INDEX(DATA_KO!E:E, MATCH(7, DATA_KO!K:K, 0)), ",", REPT(" ", 500)), 1, 500)), DATA_EO!A:A, 0)) &amp; ", " &amp; INDEX(DATA_EO!J:J, MATCH(TRIM(MID(SUBSTITUTE(INDEX(DATA_KO!E:E, MATCH(7, DATA_KO!K:K, 0)), ",", REPT(" ", 500)), 1, 500)), DATA_EO!A:A, 0)) &amp; ")"), "")</f>
        <v/>
      </c>
    </row>
    <row r="101" hidden="1" outlineLevel="2" ht="15.75" customHeight="1" s="132">
      <c r="A101" s="232" t="n"/>
      <c r="B101" s="220">
        <f t="array" ref="B101">IFERROR(IF(INDEX(DATA_KO!A:A, MATCH(7, DATA_KO!K:K, 0))="","", IF(ISERROR(FIND(",", INDEX(DATA_KO!E:E, MATCH(7, DATA_KO!K:K, 0)))), "", "        • [[" &amp; TRIM(MID(SUBSTITUTE(INDEX(DATA_KO!E:E, MATCH(7, DATA_KO!K:K, 0)), ",", REPT(" ", 500)), 501, 500)) &amp; "]] — " &amp; INDEX(DATA_EO!L:L, MATCH(TRIM(MID(SUBSTITUTE(INDEX(DATA_KO!E:E, MATCH(7, DATA_KO!K:K, 0)), ",", REPT(" ", 500)), 501, 500)), DATA_EO!A:A, 0)) &amp; " (Source: " &amp; INDEX(DATA_EO!B:B, MATCH(TRIM(MID(SUBSTITUTE(INDEX(DATA_KO!E:E, MATCH(7, DATA_KO!K:K, 0)), ",", REPT(" ", 500)), 501, 500)), DATA_EO!A:A, 0)) &amp; ", " &amp; INDEX(DATA_EO!J:J, MATCH(TRIM(MID(SUBSTITUTE(INDEX(DATA_KO!E:E, MATCH(7, DATA_KO!K:K, 0)), ",", REPT(" ", 500)), 501, 500)), DATA_EO!A:A, 0)) &amp; ")")), "")</f>
        <v/>
      </c>
    </row>
    <row r="102" hidden="1" outlineLevel="2" ht="15.75" customHeight="1" s="132">
      <c r="A102" s="232" t="n"/>
      <c r="B102" s="220">
        <f t="array" ref="B102">IFERROR(IF(INDEX(DATA_KO!A:A, MATCH(7, DATA_KO!K:K, 0))="","", IF(LEN(INDEX(DATA_KO!E:E, MATCH(7, DATA_KO!K:K, 0)))-LEN(SUBSTITUTE(INDEX(DATA_KO!E:E, MATCH(7, DATA_KO!K:K, 0)), ",", "" ))&lt;2, "", "        • [[" &amp; TRIM(MID(SUBSTITUTE(INDEX(DATA_KO!E:E, MATCH(7, DATA_KO!K:K, 0)), ",", REPT(" ", 500)), 1001, 500)) &amp; "]] — " &amp; INDEX(DATA_EO!L:L, MATCH(TRIM(MID(SUBSTITUTE(INDEX(DATA_KO!E:E, MATCH(7, DATA_KO!K:K, 0)), ",", REPT(" ", 500)), 1001, 500)), DATA_EO!A:A, 0)) &amp; " (Source: " &amp; INDEX(DATA_EO!B:B, MATCH(TRIM(MID(SUBSTITUTE(INDEX(DATA_KO!E:E, MATCH(7, DATA_KO!K:K, 0)), ",", REPT(" ", 500)), 1001, 500)), DATA_EO!A:A, 0)) &amp; ", " &amp; INDEX(DATA_EO!J:J, MATCH(TRIM(MID(SUBSTITUTE(INDEX(DATA_KO!E:E, MATCH(7, DATA_KO!K:K, 0)), ",", REPT(" ", 500)), 1001, 500)), DATA_EO!A:A, 0)) &amp; ")")), "")</f>
        <v/>
      </c>
    </row>
    <row r="103" ht="15.75" customHeight="1" s="132">
      <c r="A103" s="232" t="n"/>
      <c r="B103" s="232" t="n"/>
      <c r="C103" s="232" t="n"/>
      <c r="D103" s="232" t="n"/>
      <c r="E103" s="232" t="n"/>
      <c r="F103" s="232" t="n"/>
      <c r="G103" s="232" t="n"/>
      <c r="H103" s="232" t="n"/>
    </row>
    <row r="104" ht="15.75" customHeight="1" s="132">
      <c r="A104" s="244">
        <f t="array" ref="A104">IFERROR(IF(INDEX(DATA_KO!A:A, MATCH(8, DATA_KO!K:K, 0))="","", "▼ Concept:"), "")</f>
        <v/>
      </c>
      <c r="B104" s="234">
        <f t="array" ref="B104">IFERROR(IF(INDEX(DATA_KO!A:A, MATCH(8, DATA_KO!K:K, 0))="","", INDEX(DATA_KO!B:B, MATCH(8, DATA_KO!K:K, 0))), "")</f>
        <v/>
      </c>
      <c r="E104" s="235">
        <f t="array" ref="E104">IFERROR(IF(INDEX(DATA_KO!A:A, MATCH(8, DATA_KO!K:K, 0))="","", "[[" &amp; INDEX(DATA_KO!A:A, MATCH(8, DATA_KO!K:K, 0)) &amp; "]]"), "")</f>
        <v/>
      </c>
      <c r="F104" s="236">
        <f t="array" ref="F104">IFERROR(IF(INDEX(DATA_KO!A:A, MATCH(8, DATA_KO!K:K, 0))="","", "IO: " &amp; INDEX(DATA_KO!R:R, MATCH(8, DATA_KO!K:K, 0)) &amp; " | EO: " &amp; INDEX(DATA_KO!Q:Q, MATCH(8, DATA_KO!K:K, 0)) &amp; " | Conf: " &amp; TEXT(INDEX(DATA_KO!G:G, MATCH(8, DATA_KO!K:K, 0)), "0.00")), "")</f>
        <v/>
      </c>
      <c r="G104" s="236">
        <f t="array" ref="G104">IFERROR(IF(INDEX(DATA_KO!A:A, MATCH(8, DATA_KO!K:K, 0))="","", "Domain: " &amp; INDEX(DATA_KO!C:C, MATCH(8, DATA_KO!K:K, 0))), "")</f>
        <v/>
      </c>
      <c r="H104" s="237">
        <f t="array" ref="H104">IFERROR(IF(INDEX(DATA_KO!A:A, MATCH(8, DATA_KO!K:K, 0))="","", HYPERLINK("#'04_Lineage_Explorer'!B6", "➔ [Inspect Lineage]")), "")</f>
        <v/>
      </c>
    </row>
    <row r="105" hidden="1" outlineLevel="1" ht="15.75" customHeight="1" s="132">
      <c r="A105" s="232" t="n"/>
      <c r="B105" s="231">
        <f t="array" ref="B105">IFERROR(IF(INDEX(DATA_KO!A:A, MATCH(8, DATA_KO!K:K, 0))="","", "    ▼ Supporting Interpretations (Layer 2) — " &amp; INDEX(DATA_KO!R:R, MATCH(8, DATA_KO!K:K, 0)) &amp; " Models"), "")</f>
        <v/>
      </c>
    </row>
    <row r="106" hidden="1" outlineLevel="2" ht="15.75" customHeight="1" s="132">
      <c r="A106" s="232" t="n"/>
      <c r="B106" s="220">
        <f t="array" ref="B106">IFERROR(IF(INDEX(DATA_KO!A:A, MATCH(8, DATA_KO!K:K, 0))="","", "        • [[" &amp; TRIM(MID(SUBSTITUTE(INDEX(DATA_KO!F:F, MATCH(8, DATA_KO!K:K, 0)), ",", REPT(" ", 500)), 1, 500)) &amp; "]] — " &amp; INDEX(DATA_IO!B:B, MATCH(TRIM(MID(SUBSTITUTE(INDEX(DATA_KO!F:F, MATCH(8, DATA_KO!K:K, 0)), ",", REPT(" ", 500)), 1, 500)), DATA_IO!A:A, 0))), "")</f>
        <v/>
      </c>
    </row>
    <row r="107" hidden="1" outlineLevel="2" ht="15.75" customHeight="1" s="132">
      <c r="A107" s="232" t="n"/>
      <c r="B107" s="220">
        <f t="array" ref="B107">IFERROR(IF(INDEX(DATA_KO!A:A, MATCH(8, DATA_KO!K:K, 0))="","", IF(ISERROR(FIND(",", INDEX(DATA_KO!F:F, MATCH(8, DATA_KO!K:K, 0)))), "", "        • [[" &amp; TRIM(MID(SUBSTITUTE(INDEX(DATA_KO!F:F, MATCH(8, DATA_KO!K:K, 0)), ",", REPT(" ", 500)), 501, 500)) &amp; "]] — " &amp; INDEX(DATA_IO!B:B, MATCH(TRIM(MID(SUBSTITUTE(INDEX(DATA_KO!F:F, MATCH(8, DATA_KO!K:K, 0)), ",", REPT(" ", 500)), 501, 500)), DATA_IO!A:A, 0)))), "")</f>
        <v/>
      </c>
    </row>
    <row r="108" hidden="1" outlineLevel="1" ht="15.75" customHeight="1" s="132">
      <c r="A108" s="232" t="n"/>
      <c r="B108" s="241">
        <f t="array" ref="B108">IFERROR(IF(INDEX(DATA_KO!A:A, MATCH(8, DATA_KO!K:K, 0))="","", "    ▼ Grounding Evidence (Layer 1) — " &amp; INDEX(DATA_KO!Q:Q, MATCH(8, DATA_KO!K:K, 0)) &amp; " Empirical Anchors"), "")</f>
        <v/>
      </c>
    </row>
    <row r="109" hidden="1" outlineLevel="2" ht="15.75" customHeight="1" s="132">
      <c r="A109" s="232" t="n"/>
      <c r="B109" s="220">
        <f t="array" ref="B109">IFERROR(IF(INDEX(DATA_KO!A:A, MATCH(8, DATA_KO!K:K, 0))="","", "        • [[" &amp; TRIM(MID(SUBSTITUTE(INDEX(DATA_KO!E:E, MATCH(8, DATA_KO!K:K, 0)), ",", REPT(" ", 500)), 1, 500)) &amp; "]] — " &amp; INDEX(DATA_EO!L:L, MATCH(TRIM(MID(SUBSTITUTE(INDEX(DATA_KO!E:E, MATCH(8, DATA_KO!K:K, 0)), ",", REPT(" ", 500)), 1, 500)), DATA_EO!A:A, 0)) &amp; " (Source: " &amp; INDEX(DATA_EO!B:B, MATCH(TRIM(MID(SUBSTITUTE(INDEX(DATA_KO!E:E, MATCH(8, DATA_KO!K:K, 0)), ",", REPT(" ", 500)), 1, 500)), DATA_EO!A:A, 0)) &amp; ", " &amp; INDEX(DATA_EO!J:J, MATCH(TRIM(MID(SUBSTITUTE(INDEX(DATA_KO!E:E, MATCH(8, DATA_KO!K:K, 0)), ",", REPT(" ", 500)), 1, 500)), DATA_EO!A:A, 0)) &amp; ")"), "")</f>
        <v/>
      </c>
    </row>
    <row r="110" hidden="1" outlineLevel="2" ht="15.75" customHeight="1" s="132">
      <c r="A110" s="232" t="n"/>
      <c r="B110" s="220">
        <f t="array" ref="B110">IFERROR(IF(INDEX(DATA_KO!A:A, MATCH(8, DATA_KO!K:K, 0))="","", IF(ISERROR(FIND(",", INDEX(DATA_KO!E:E, MATCH(8, DATA_KO!K:K, 0)))), "", "        • [[" &amp; TRIM(MID(SUBSTITUTE(INDEX(DATA_KO!E:E, MATCH(8, DATA_KO!K:K, 0)), ",", REPT(" ", 500)), 501, 500)) &amp; "]] — " &amp; INDEX(DATA_EO!L:L, MATCH(TRIM(MID(SUBSTITUTE(INDEX(DATA_KO!E:E, MATCH(8, DATA_KO!K:K, 0)), ",", REPT(" ", 500)), 501, 500)), DATA_EO!A:A, 0)) &amp; " (Source: " &amp; INDEX(DATA_EO!B:B, MATCH(TRIM(MID(SUBSTITUTE(INDEX(DATA_KO!E:E, MATCH(8, DATA_KO!K:K, 0)), ",", REPT(" ", 500)), 501, 500)), DATA_EO!A:A, 0)) &amp; ", " &amp; INDEX(DATA_EO!J:J, MATCH(TRIM(MID(SUBSTITUTE(INDEX(DATA_KO!E:E, MATCH(8, DATA_KO!K:K, 0)), ",", REPT(" ", 500)), 501, 500)), DATA_EO!A:A, 0)) &amp; ")")), "")</f>
        <v/>
      </c>
    </row>
    <row r="111" hidden="1" outlineLevel="2" ht="15.75" customHeight="1" s="132">
      <c r="A111" s="232" t="n"/>
      <c r="B111" s="220">
        <f t="array" ref="B111">IFERROR(IF(INDEX(DATA_KO!A:A, MATCH(8, DATA_KO!K:K, 0))="","", IF(LEN(INDEX(DATA_KO!E:E, MATCH(8, DATA_KO!K:K, 0)))-LEN(SUBSTITUTE(INDEX(DATA_KO!E:E, MATCH(8, DATA_KO!K:K, 0)), ",", "" ))&lt;2, "", "        • [[" &amp; TRIM(MID(SUBSTITUTE(INDEX(DATA_KO!E:E, MATCH(8, DATA_KO!K:K, 0)), ",", REPT(" ", 500)), 1001, 500)) &amp; "]] — " &amp; INDEX(DATA_EO!L:L, MATCH(TRIM(MID(SUBSTITUTE(INDEX(DATA_KO!E:E, MATCH(8, DATA_KO!K:K, 0)), ",", REPT(" ", 500)), 1001, 500)), DATA_EO!A:A, 0)) &amp; " (Source: " &amp; INDEX(DATA_EO!B:B, MATCH(TRIM(MID(SUBSTITUTE(INDEX(DATA_KO!E:E, MATCH(8, DATA_KO!K:K, 0)), ",", REPT(" ", 500)), 1001, 500)), DATA_EO!A:A, 0)) &amp; ", " &amp; INDEX(DATA_EO!J:J, MATCH(TRIM(MID(SUBSTITUTE(INDEX(DATA_KO!E:E, MATCH(8, DATA_KO!K:K, 0)), ",", REPT(" ", 500)), 1001, 500)), DATA_EO!A:A, 0)) &amp; ")")), "")</f>
        <v/>
      </c>
    </row>
    <row r="112" ht="15.75" customHeight="1" s="132">
      <c r="A112" s="232" t="n"/>
      <c r="B112" s="232" t="n"/>
      <c r="C112" s="232" t="n"/>
      <c r="D112" s="232" t="n"/>
      <c r="E112" s="232" t="n"/>
      <c r="F112" s="232" t="n"/>
      <c r="G112" s="232" t="n"/>
      <c r="H112" s="232" t="n"/>
    </row>
    <row r="113" ht="15.75" customHeight="1" s="132">
      <c r="A113" s="244">
        <f t="array" ref="A113">IFERROR(IF(INDEX(DATA_KO!A:A, MATCH(9, DATA_KO!K:K, 0))="","", "▼ Concept:"), "")</f>
        <v/>
      </c>
      <c r="B113" s="234">
        <f t="array" ref="B113">IFERROR(IF(INDEX(DATA_KO!A:A, MATCH(9, DATA_KO!K:K, 0))="","", INDEX(DATA_KO!B:B, MATCH(9, DATA_KO!K:K, 0))), "")</f>
        <v/>
      </c>
      <c r="E113" s="235">
        <f t="array" ref="E113">IFERROR(IF(INDEX(DATA_KO!A:A, MATCH(9, DATA_KO!K:K, 0))="","", "[[" &amp; INDEX(DATA_KO!A:A, MATCH(9, DATA_KO!K:K, 0)) &amp; "]]"), "")</f>
        <v/>
      </c>
      <c r="F113" s="236">
        <f t="array" ref="F113">IFERROR(IF(INDEX(DATA_KO!A:A, MATCH(9, DATA_KO!K:K, 0))="","", "IO: " &amp; INDEX(DATA_KO!R:R, MATCH(9, DATA_KO!K:K, 0)) &amp; " | EO: " &amp; INDEX(DATA_KO!Q:Q, MATCH(9, DATA_KO!K:K, 0)) &amp; " | Conf: " &amp; TEXT(INDEX(DATA_KO!G:G, MATCH(9, DATA_KO!K:K, 0)), "0.00")), "")</f>
        <v/>
      </c>
      <c r="G113" s="236">
        <f t="array" ref="G113">IFERROR(IF(INDEX(DATA_KO!A:A, MATCH(9, DATA_KO!K:K, 0))="","", "Domain: " &amp; INDEX(DATA_KO!C:C, MATCH(9, DATA_KO!K:K, 0))), "")</f>
        <v/>
      </c>
      <c r="H113" s="237">
        <f t="array" ref="H113">IFERROR(IF(INDEX(DATA_KO!A:A, MATCH(9, DATA_KO!K:K, 0))="","", HYPERLINK("#'04_Lineage_Explorer'!B6", "➔ [Inspect Lineage]")), "")</f>
        <v/>
      </c>
    </row>
    <row r="114" hidden="1" outlineLevel="1" ht="15.75" customHeight="1" s="132">
      <c r="A114" s="232" t="n"/>
      <c r="B114" s="231">
        <f t="array" ref="B114">IFERROR(IF(INDEX(DATA_KO!A:A, MATCH(9, DATA_KO!K:K, 0))="","", "    ▼ Supporting Interpretations (Layer 2) — " &amp; INDEX(DATA_KO!R:R, MATCH(9, DATA_KO!K:K, 0)) &amp; " Models"), "")</f>
        <v/>
      </c>
    </row>
    <row r="115" hidden="1" outlineLevel="2" ht="15.75" customHeight="1" s="132">
      <c r="A115" s="232" t="n"/>
      <c r="B115" s="220">
        <f t="array" ref="B115">IFERROR(IF(INDEX(DATA_KO!A:A, MATCH(9, DATA_KO!K:K, 0))="","", "        • [[" &amp; TRIM(MID(SUBSTITUTE(INDEX(DATA_KO!F:F, MATCH(9, DATA_KO!K:K, 0)), ",", REPT(" ", 500)), 1, 500)) &amp; "]] — " &amp; INDEX(DATA_IO!B:B, MATCH(TRIM(MID(SUBSTITUTE(INDEX(DATA_KO!F:F, MATCH(9, DATA_KO!K:K, 0)), ",", REPT(" ", 500)), 1, 500)), DATA_IO!A:A, 0))), "")</f>
        <v/>
      </c>
    </row>
    <row r="116" hidden="1" outlineLevel="2" ht="15.75" customHeight="1" s="132">
      <c r="A116" s="232" t="n"/>
      <c r="B116" s="220">
        <f t="array" ref="B116">IFERROR(IF(INDEX(DATA_KO!A:A, MATCH(9, DATA_KO!K:K, 0))="","", IF(ISERROR(FIND(",", INDEX(DATA_KO!F:F, MATCH(9, DATA_KO!K:K, 0)))), "", "        • [[" &amp; TRIM(MID(SUBSTITUTE(INDEX(DATA_KO!F:F, MATCH(9, DATA_KO!K:K, 0)), ",", REPT(" ", 500)), 501, 500)) &amp; "]] — " &amp; INDEX(DATA_IO!B:B, MATCH(TRIM(MID(SUBSTITUTE(INDEX(DATA_KO!F:F, MATCH(9, DATA_KO!K:K, 0)), ",", REPT(" ", 500)), 501, 500)), DATA_IO!A:A, 0)))), "")</f>
        <v/>
      </c>
    </row>
    <row r="117" hidden="1" outlineLevel="1" ht="15.75" customHeight="1" s="132">
      <c r="A117" s="232" t="n"/>
      <c r="B117" s="241">
        <f t="array" ref="B117">IFERROR(IF(INDEX(DATA_KO!A:A, MATCH(9, DATA_KO!K:K, 0))="","", "    ▼ Grounding Evidence (Layer 1) — " &amp; INDEX(DATA_KO!Q:Q, MATCH(9, DATA_KO!K:K, 0)) &amp; " Empirical Anchors"), "")</f>
        <v/>
      </c>
    </row>
    <row r="118" hidden="1" outlineLevel="2" ht="15.75" customHeight="1" s="132">
      <c r="A118" s="232" t="n"/>
      <c r="B118" s="220">
        <f t="array" ref="B118">IFERROR(IF(INDEX(DATA_KO!A:A, MATCH(9, DATA_KO!K:K, 0))="","", "        • [[" &amp; TRIM(MID(SUBSTITUTE(INDEX(DATA_KO!E:E, MATCH(9, DATA_KO!K:K, 0)), ",", REPT(" ", 500)), 1, 500)) &amp; "]] — " &amp; INDEX(DATA_EO!L:L, MATCH(TRIM(MID(SUBSTITUTE(INDEX(DATA_KO!E:E, MATCH(9, DATA_KO!K:K, 0)), ",", REPT(" ", 500)), 1, 500)), DATA_EO!A:A, 0)) &amp; " (Source: " &amp; INDEX(DATA_EO!B:B, MATCH(TRIM(MID(SUBSTITUTE(INDEX(DATA_KO!E:E, MATCH(9, DATA_KO!K:K, 0)), ",", REPT(" ", 500)), 1, 500)), DATA_EO!A:A, 0)) &amp; ", " &amp; INDEX(DATA_EO!J:J, MATCH(TRIM(MID(SUBSTITUTE(INDEX(DATA_KO!E:E, MATCH(9, DATA_KO!K:K, 0)), ",", REPT(" ", 500)), 1, 500)), DATA_EO!A:A, 0)) &amp; ")"), "")</f>
        <v/>
      </c>
    </row>
    <row r="119" hidden="1" outlineLevel="2" ht="15.75" customHeight="1" s="132">
      <c r="A119" s="232" t="n"/>
      <c r="B119" s="220">
        <f t="array" ref="B119">IFERROR(IF(INDEX(DATA_KO!A:A, MATCH(9, DATA_KO!K:K, 0))="","", IF(ISERROR(FIND(",", INDEX(DATA_KO!E:E, MATCH(9, DATA_KO!K:K, 0)))), "", "        • [[" &amp; TRIM(MID(SUBSTITUTE(INDEX(DATA_KO!E:E, MATCH(9, DATA_KO!K:K, 0)), ",", REPT(" ", 500)), 501, 500)) &amp; "]] — " &amp; INDEX(DATA_EO!L:L, MATCH(TRIM(MID(SUBSTITUTE(INDEX(DATA_KO!E:E, MATCH(9, DATA_KO!K:K, 0)), ",", REPT(" ", 500)), 501, 500)), DATA_EO!A:A, 0)) &amp; " (Source: " &amp; INDEX(DATA_EO!B:B, MATCH(TRIM(MID(SUBSTITUTE(INDEX(DATA_KO!E:E, MATCH(9, DATA_KO!K:K, 0)), ",", REPT(" ", 500)), 501, 500)), DATA_EO!A:A, 0)) &amp; ", " &amp; INDEX(DATA_EO!J:J, MATCH(TRIM(MID(SUBSTITUTE(INDEX(DATA_KO!E:E, MATCH(9, DATA_KO!K:K, 0)), ",", REPT(" ", 500)), 501, 500)), DATA_EO!A:A, 0)) &amp; ")")), "")</f>
        <v/>
      </c>
    </row>
    <row r="120" hidden="1" outlineLevel="2" ht="15.75" customHeight="1" s="132">
      <c r="A120" s="232" t="n"/>
      <c r="B120" s="220">
        <f t="array" ref="B120">IFERROR(IF(INDEX(DATA_KO!A:A, MATCH(9, DATA_KO!K:K, 0))="","", IF(LEN(INDEX(DATA_KO!E:E, MATCH(9, DATA_KO!K:K, 0)))-LEN(SUBSTITUTE(INDEX(DATA_KO!E:E, MATCH(9, DATA_KO!K:K, 0)), ",", "" ))&lt;2, "", "        • [[" &amp; TRIM(MID(SUBSTITUTE(INDEX(DATA_KO!E:E, MATCH(9, DATA_KO!K:K, 0)), ",", REPT(" ", 500)), 1001, 500)) &amp; "]] — " &amp; INDEX(DATA_EO!L:L, MATCH(TRIM(MID(SUBSTITUTE(INDEX(DATA_KO!E:E, MATCH(9, DATA_KO!K:K, 0)), ",", REPT(" ", 500)), 1001, 500)), DATA_EO!A:A, 0)) &amp; " (Source: " &amp; INDEX(DATA_EO!B:B, MATCH(TRIM(MID(SUBSTITUTE(INDEX(DATA_KO!E:E, MATCH(9, DATA_KO!K:K, 0)), ",", REPT(" ", 500)), 1001, 500)), DATA_EO!A:A, 0)) &amp; ", " &amp; INDEX(DATA_EO!J:J, MATCH(TRIM(MID(SUBSTITUTE(INDEX(DATA_KO!E:E, MATCH(9, DATA_KO!K:K, 0)), ",", REPT(" ", 500)), 1001, 500)), DATA_EO!A:A, 0)) &amp; ")")), "")</f>
        <v/>
      </c>
    </row>
    <row r="121" ht="15.75" customHeight="1" s="132">
      <c r="A121" s="232" t="n"/>
      <c r="B121" s="232" t="n"/>
      <c r="C121" s="232" t="n"/>
      <c r="D121" s="232" t="n"/>
      <c r="E121" s="232" t="n"/>
      <c r="F121" s="232" t="n"/>
      <c r="G121" s="232" t="n"/>
      <c r="H121" s="232" t="n"/>
    </row>
    <row r="122" ht="15.75" customHeight="1" s="132">
      <c r="A122" s="244">
        <f t="array" ref="A122">IFERROR(IF(INDEX(DATA_KO!A:A, MATCH(10, DATA_KO!K:K, 0))="","", "▼ Concept:"), "")</f>
        <v/>
      </c>
      <c r="B122" s="234">
        <f t="array" ref="B122">IFERROR(IF(INDEX(DATA_KO!A:A, MATCH(10, DATA_KO!K:K, 0))="","", INDEX(DATA_KO!B:B, MATCH(10, DATA_KO!K:K, 0))), "")</f>
        <v/>
      </c>
      <c r="E122" s="235">
        <f t="array" ref="E122">IFERROR(IF(INDEX(DATA_KO!A:A, MATCH(10, DATA_KO!K:K, 0))="","", "[[" &amp; INDEX(DATA_KO!A:A, MATCH(10, DATA_KO!K:K, 0)) &amp; "]]"), "")</f>
        <v/>
      </c>
      <c r="F122" s="236">
        <f t="array" ref="F122">IFERROR(IF(INDEX(DATA_KO!A:A, MATCH(10, DATA_KO!K:K, 0))="","", "IO: " &amp; INDEX(DATA_KO!R:R, MATCH(10, DATA_KO!K:K, 0)) &amp; " | EO: " &amp; INDEX(DATA_KO!Q:Q, MATCH(10, DATA_KO!K:K, 0)) &amp; " | Conf: " &amp; TEXT(INDEX(DATA_KO!G:G, MATCH(10, DATA_KO!K:K, 0)), "0.00")), "")</f>
        <v/>
      </c>
      <c r="G122" s="236">
        <f t="array" ref="G122">IFERROR(IF(INDEX(DATA_KO!A:A, MATCH(10, DATA_KO!K:K, 0))="","", "Domain: " &amp; INDEX(DATA_KO!C:C, MATCH(10, DATA_KO!K:K, 0))), "")</f>
        <v/>
      </c>
      <c r="H122" s="237">
        <f t="array" ref="H122">IFERROR(IF(INDEX(DATA_KO!A:A, MATCH(10, DATA_KO!K:K, 0))="","", HYPERLINK("#'04_Lineage_Explorer'!B6", "➔ [Inspect Lineage]")), "")</f>
        <v/>
      </c>
    </row>
    <row r="123" hidden="1" outlineLevel="1" ht="15.75" customHeight="1" s="132">
      <c r="A123" s="232" t="n"/>
      <c r="B123" s="231">
        <f t="array" ref="B123">IFERROR(IF(INDEX(DATA_KO!A:A, MATCH(10, DATA_KO!K:K, 0))="","", "    ▼ Supporting Interpretations (Layer 2) — " &amp; INDEX(DATA_KO!R:R, MATCH(10, DATA_KO!K:K, 0)) &amp; " Models"), "")</f>
        <v/>
      </c>
    </row>
    <row r="124" hidden="1" outlineLevel="2" ht="15.75" customHeight="1" s="132">
      <c r="A124" s="232" t="n"/>
      <c r="B124" s="220">
        <f t="array" ref="B124">IFERROR(IF(INDEX(DATA_KO!A:A, MATCH(10, DATA_KO!K:K, 0))="","", "        • [[" &amp; TRIM(MID(SUBSTITUTE(INDEX(DATA_KO!F:F, MATCH(10, DATA_KO!K:K, 0)), ",", REPT(" ", 500)), 1, 500)) &amp; "]] — " &amp; INDEX(DATA_IO!B:B, MATCH(TRIM(MID(SUBSTITUTE(INDEX(DATA_KO!F:F, MATCH(10, DATA_KO!K:K, 0)), ",", REPT(" ", 500)), 1, 500)), DATA_IO!A:A, 0))), "")</f>
        <v/>
      </c>
    </row>
    <row r="125" hidden="1" outlineLevel="2" ht="15.75" customHeight="1" s="132">
      <c r="A125" s="232" t="n"/>
      <c r="B125" s="220">
        <f t="array" ref="B125">IFERROR(IF(INDEX(DATA_KO!A:A, MATCH(10, DATA_KO!K:K, 0))="","", IF(ISERROR(FIND(",", INDEX(DATA_KO!F:F, MATCH(10, DATA_KO!K:K, 0)))), "", "        • [[" &amp; TRIM(MID(SUBSTITUTE(INDEX(DATA_KO!F:F, MATCH(10, DATA_KO!K:K, 0)), ",", REPT(" ", 500)), 501, 500)) &amp; "]] — " &amp; INDEX(DATA_IO!B:B, MATCH(TRIM(MID(SUBSTITUTE(INDEX(DATA_KO!F:F, MATCH(10, DATA_KO!K:K, 0)), ",", REPT(" ", 500)), 501, 500)), DATA_IO!A:A, 0)))), "")</f>
        <v/>
      </c>
    </row>
    <row r="126" hidden="1" outlineLevel="1" ht="15.75" customHeight="1" s="132">
      <c r="A126" s="232" t="n"/>
      <c r="B126" s="241">
        <f t="array" ref="B126">IFERROR(IF(INDEX(DATA_KO!A:A, MATCH(10, DATA_KO!K:K, 0))="","", "    ▼ Grounding Evidence (Layer 1) — " &amp; INDEX(DATA_KO!Q:Q, MATCH(10, DATA_KO!K:K, 0)) &amp; " Empirical Anchors"), "")</f>
        <v/>
      </c>
    </row>
    <row r="127" hidden="1" outlineLevel="2" ht="15.75" customHeight="1" s="132">
      <c r="A127" s="232" t="n"/>
      <c r="B127" s="220">
        <f t="array" ref="B127">IFERROR(IF(INDEX(DATA_KO!A:A, MATCH(10, DATA_KO!K:K, 0))="","", "        • [[" &amp; TRIM(MID(SUBSTITUTE(INDEX(DATA_KO!E:E, MATCH(10, DATA_KO!K:K, 0)), ",", REPT(" ", 500)), 1, 500)) &amp; "]] — " &amp; INDEX(DATA_EO!L:L, MATCH(TRIM(MID(SUBSTITUTE(INDEX(DATA_KO!E:E, MATCH(10, DATA_KO!K:K, 0)), ",", REPT(" ", 500)), 1, 500)), DATA_EO!A:A, 0)) &amp; " (Source: " &amp; INDEX(DATA_EO!B:B, MATCH(TRIM(MID(SUBSTITUTE(INDEX(DATA_KO!E:E, MATCH(10, DATA_KO!K:K, 0)), ",", REPT(" ", 500)), 1, 500)), DATA_EO!A:A, 0)) &amp; ", " &amp; INDEX(DATA_EO!J:J, MATCH(TRIM(MID(SUBSTITUTE(INDEX(DATA_KO!E:E, MATCH(10, DATA_KO!K:K, 0)), ",", REPT(" ", 500)), 1, 500)), DATA_EO!A:A, 0)) &amp; ")"), "")</f>
        <v/>
      </c>
    </row>
    <row r="128" hidden="1" outlineLevel="2" ht="15.75" customHeight="1" s="132">
      <c r="A128" s="232" t="n"/>
      <c r="B128" s="220">
        <f t="array" ref="B128">IFERROR(IF(INDEX(DATA_KO!A:A, MATCH(10, DATA_KO!K:K, 0))="","", IF(ISERROR(FIND(",", INDEX(DATA_KO!E:E, MATCH(10, DATA_KO!K:K, 0)))), "", "        • [[" &amp; TRIM(MID(SUBSTITUTE(INDEX(DATA_KO!E:E, MATCH(10, DATA_KO!K:K, 0)), ",", REPT(" ", 500)), 501, 500)) &amp; "]] — " &amp; INDEX(DATA_EO!L:L, MATCH(TRIM(MID(SUBSTITUTE(INDEX(DATA_KO!E:E, MATCH(10, DATA_KO!K:K, 0)), ",", REPT(" ", 500)), 501, 500)), DATA_EO!A:A, 0)) &amp; " (Source: " &amp; INDEX(DATA_EO!B:B, MATCH(TRIM(MID(SUBSTITUTE(INDEX(DATA_KO!E:E, MATCH(10, DATA_KO!K:K, 0)), ",", REPT(" ", 500)), 501, 500)), DATA_EO!A:A, 0)) &amp; ", " &amp; INDEX(DATA_EO!J:J, MATCH(TRIM(MID(SUBSTITUTE(INDEX(DATA_KO!E:E, MATCH(10, DATA_KO!K:K, 0)), ",", REPT(" ", 500)), 501, 500)), DATA_EO!A:A, 0)) &amp; ")")), "")</f>
        <v/>
      </c>
    </row>
    <row r="129" hidden="1" outlineLevel="2" ht="15.75" customHeight="1" s="132">
      <c r="A129" s="232" t="n"/>
      <c r="B129" s="220">
        <f t="array" ref="B129">IFERROR(IF(INDEX(DATA_KO!A:A, MATCH(10, DATA_KO!K:K, 0))="","", IF(LEN(INDEX(DATA_KO!E:E, MATCH(10, DATA_KO!K:K, 0)))-LEN(SUBSTITUTE(INDEX(DATA_KO!E:E, MATCH(10, DATA_KO!K:K, 0)), ",", "" ))&lt;2, "", "        • [[" &amp; TRIM(MID(SUBSTITUTE(INDEX(DATA_KO!E:E, MATCH(10, DATA_KO!K:K, 0)), ",", REPT(" ", 500)), 1001, 500)) &amp; "]] — " &amp; INDEX(DATA_EO!L:L, MATCH(TRIM(MID(SUBSTITUTE(INDEX(DATA_KO!E:E, MATCH(10, DATA_KO!K:K, 0)), ",", REPT(" ", 500)), 1001, 500)), DATA_EO!A:A, 0)) &amp; " (Source: " &amp; INDEX(DATA_EO!B:B, MATCH(TRIM(MID(SUBSTITUTE(INDEX(DATA_KO!E:E, MATCH(10, DATA_KO!K:K, 0)), ",", REPT(" ", 500)), 1001, 500)), DATA_EO!A:A, 0)) &amp; ", " &amp; INDEX(DATA_EO!J:J, MATCH(TRIM(MID(SUBSTITUTE(INDEX(DATA_KO!E:E, MATCH(10, DATA_KO!K:K, 0)), ",", REPT(" ", 500)), 1001, 500)), DATA_EO!A:A, 0)) &amp; ")")), "")</f>
        <v/>
      </c>
    </row>
    <row r="130" ht="15.75" customHeight="1" s="132">
      <c r="A130" s="232" t="n"/>
      <c r="B130" s="232" t="n"/>
      <c r="C130" s="232" t="n"/>
      <c r="D130" s="232" t="n"/>
      <c r="E130" s="232" t="n"/>
      <c r="F130" s="232" t="n"/>
      <c r="G130" s="232" t="n"/>
      <c r="H130" s="232" t="n"/>
    </row>
    <row r="131" ht="15.75" customHeight="1" s="132">
      <c r="A131" s="254" t="inlineStr">
        <is>
          <t>7. MASTER INTELLIGENCE DETAIL PANEL (UNIFIED EPISTEMIC INSPECTION)</t>
        </is>
      </c>
    </row>
    <row r="132" ht="15.75" customHeight="1" s="132">
      <c r="A132" s="228" t="inlineStr">
        <is>
          <t>Select Target Object ID:</t>
        </is>
      </c>
      <c r="B132" s="255">
        <f>IF('01_Executive_Dashboard'!$C$21&lt;&gt;"", '01_Executive_Dashboard'!$C$21, "KO-FIN-DEBT-INTEREST-SPIRAL-001")</f>
        <v/>
      </c>
      <c r="E132" s="228" t="inlineStr">
        <is>
          <t>Epistemic Confidence:</t>
        </is>
      </c>
      <c r="F132" s="256">
        <f t="array" ref="F132">IF(LEFT($B$132, 2)="KO", TEXT(INDEX(DATA_KO!G:G, MATCH($B$132, DATA_KO!A:A, 0)), "0.00"), IF(LEFT($B$132, 2)="IO", TEXT(INDEX(DATA_IO!G:G, MATCH($B$132, DATA_IO!A:A, 0)), "0.00"), TEXT(INDEX(DATA_EO!G:G, MATCH($B$132, DATA_EO!A:A, 0)), "0.00")))</f>
        <v/>
      </c>
      <c r="G132" s="228" t="inlineStr">
        <is>
          <t>Object Layer / Type:</t>
        </is>
      </c>
      <c r="H132" s="256">
        <f>IF(LEFT($B$132, 2)="KO", "Layer 3 (Knowledge Concept)", IF(LEFT($B$132, 2)="IO", "Layer 2 (Analytical Model)", "Layer 1 (Empirical Observation)"))</f>
        <v/>
      </c>
    </row>
    <row r="133" ht="15.75" customHeight="1" s="132">
      <c r="A133" s="175" t="inlineStr">
        <is>
          <t>Proposition / Inquiry:</t>
        </is>
      </c>
      <c r="B133" s="219">
        <f t="array" ref="B133">IF(LEFT($B$132, 2)="KO", "Knowledge Claim: " &amp; INDEX(DATA_KO!B:B, MATCH($B$132, DATA_KO!A:A, 0)), IF(LEFT($B$132, 2)="IO", "Research Question: " &amp; INDEX(DATA_IO!B:B, MATCH($B$132, DATA_IO!A:A, 0)), "Observation: " &amp; INDEX(DATA_EO!L:L, MATCH($B$132, DATA_EO!A:A, 0))))</f>
        <v/>
      </c>
    </row>
    <row r="134" ht="15.75" customHeight="1" s="132">
      <c r="A134" s="175" t="inlineStr">
        <is>
          <t>Domain &amp; Evidence Count:</t>
        </is>
      </c>
      <c r="B134" s="220">
        <f t="array" ref="B134">IF(LEFT($B$132, 2)="KO", "Domain: " &amp; INDEX(DATA_KO!C:C, MATCH($B$132, DATA_KO!A:A, 0)) &amp; " | Supporting Evidence: " &amp; INDEX(DATA_KO!Q:Q, MATCH($B$132, DATA_KO!A:A, 0)) &amp; " EOs", IF(LEFT($B$132, 2)="IO", "Analytical Inquiry Domain | Supporting Evidence: " &amp; (LEN(INDEX(DATA_IO!E:E, MATCH($B$132, DATA_IO!A:A, 0)))-LEN(SUBSTITUTE(INDEX(DATA_IO!E:E, MATCH($B$132, DATA_IO!A:A, 0)), ",", ""))+1) &amp; " EOs", "Subtopic: " &amp; INDEX(DATA_EO!H:H, MATCH($B$132, DATA_EO!A:A, 0))))</f>
        <v/>
      </c>
      <c r="E134" s="175" t="inlineStr">
        <is>
          <t>Supporting IOs / Parents:</t>
        </is>
      </c>
      <c r="F134" s="220">
        <f t="array" ref="F134">IF(LEFT($B$132, 2)="KO", "Supporting IOs: " &amp; INDEX(DATA_KO!F:F, MATCH($B$132, DATA_KO!A:A, 0)), IF(LEFT($B$132, 2)="IO", "Parent Object: " &amp; $B$132, "Parent IO: " &amp; INDEX(DATA_EO!M:M, MATCH($B$132, DATA_EO!A:A, 0))))</f>
        <v/>
      </c>
    </row>
    <row r="135" ht="15.75" customHeight="1" s="132">
      <c r="A135" s="175" t="inlineStr">
        <is>
          <t>Counter / Falsification:</t>
        </is>
      </c>
      <c r="B135" s="220">
        <f t="array" ref="B135">IF(LEFT($B$132, 2)="KO", "Competing Model: " &amp; INDEX(DATA_KO!S:S, MATCH($B$132, DATA_KO!A:A, 0)), IF(LEFT($B$132, 2)="IO", "Counter-Hypothesis B: " &amp; INDEX(DATA_IO!D:D, MATCH($B$132, DATA_IO!A:A, 0)), "Source: " &amp; INDEX(DATA_EO!B:B, MATCH($B$132, DATA_EO!A:A, 0)) &amp; " (" &amp; INDEX(DATA_EO!D:D, MATCH($B$132, DATA_EO!A:A, 0)) &amp; ") | Timestamp: " &amp; INDEX(DATA_EO!J:J, MATCH($B$132, DATA_EO!A:A, 0))))</f>
        <v/>
      </c>
    </row>
    <row r="136" ht="15.75" customHeight="1" s="132">
      <c r="A136" s="175" t="inlineStr">
        <is>
          <t>Exploration &amp; Decision:</t>
        </is>
      </c>
      <c r="B136" s="222">
        <f>HYPERLINK("#'04_Lineage_Explorer'!B6", "➔ [ OPEN FULL LINEAGE INVESTIGATION ]")</f>
        <v/>
      </c>
      <c r="E136" s="257">
        <f>HYPERLINK("#'07_Human_Decision_Log'!A1", "➔ [ RECORD DECISION IN HUMAN DECISION LOG (ACCEPT / HOLD / REJECT / FURTHER RESEARCH) ]")</f>
        <v/>
      </c>
    </row>
    <row r="137" ht="15.75" customHeight="1" s="132">
      <c r="A137" s="232" t="n"/>
      <c r="B137" s="232" t="n"/>
      <c r="C137" s="232" t="n"/>
      <c r="D137" s="232" t="n"/>
      <c r="E137" s="232" t="n"/>
      <c r="F137" s="232" t="n"/>
      <c r="G137" s="232" t="n"/>
      <c r="H137" s="232" t="n"/>
    </row>
    <row r="138" ht="15.75" customHeight="1" s="132">
      <c r="A138" s="254" t="inlineStr">
        <is>
          <t>8. PREPARE INTELLIGENCE REPORT REQUEST (EXTERNAL GENERATION BRIDGE)</t>
        </is>
      </c>
    </row>
    <row r="139" ht="15.75" customHeight="1" s="132">
      <c r="A139" s="258" t="inlineStr">
        <is>
          <t>Operational Role Demarcation: Excel is Human Control Layer | Python is Generation Engine | Obsidian is Exploration Canvas</t>
        </is>
      </c>
    </row>
    <row r="140" ht="15.75" customHeight="1" s="132">
      <c r="A140" s="175" t="inlineStr">
        <is>
          <t>STEP 1: Excel Prepares Query</t>
        </is>
      </c>
      <c r="B140" s="206">
        <f>"Active Query Topic: [ " &amp; UPPER($C$20) &amp; " ] — Parameters verified across " &amp; MAX(DATA_KO!K:K) &amp; " Knowledge Clusters"</f>
        <v/>
      </c>
    </row>
    <row r="141" ht="15.75" customHeight="1" s="132">
      <c r="A141" s="175" t="inlineStr">
        <is>
          <t>STEP 2: External Terminal Execution</t>
        </is>
      </c>
      <c r="B141" s="259">
        <f>"Run in Terminal: python RIE_OFFLINE_EXPORT.py"</f>
        <v/>
      </c>
    </row>
    <row r="142" ht="15.75" customHeight="1" s="132">
      <c r="A142" s="175" t="inlineStr">
        <is>
          <t>STEP 3: Explore in Obsidian Second Brain</t>
        </is>
      </c>
      <c r="B142" s="222">
        <f>"Obsidian Vault Projection: RIE_OBSIDIAN_EXPORT/00_INDEX/00_MASTER_INDEX.md"</f>
        <v/>
      </c>
    </row>
    <row r="143" ht="15.75" customHeight="1" s="132">
      <c r="A143" s="232" t="n"/>
      <c r="B143" s="232" t="n"/>
      <c r="C143" s="232" t="n"/>
      <c r="D143" s="232" t="n"/>
      <c r="E143" s="232" t="n"/>
      <c r="F143" s="232" t="n"/>
      <c r="G143" s="232" t="n"/>
      <c r="H143" s="232" t="n"/>
    </row>
    <row r="144" ht="15.75" customHeight="1" s="132">
      <c r="A144" s="232" t="n"/>
      <c r="B144" s="232" t="n"/>
      <c r="C144" s="232" t="n"/>
      <c r="D144" s="232" t="n"/>
      <c r="E144" s="232" t="n"/>
      <c r="F144" s="232" t="n"/>
      <c r="G144" s="232" t="n"/>
      <c r="H144" s="232" t="n"/>
    </row>
    <row r="145" ht="15.75" customHeight="1" s="132">
      <c r="A145" s="232" t="n"/>
      <c r="B145" s="232" t="n"/>
      <c r="C145" s="232" t="n"/>
      <c r="D145" s="232" t="n"/>
      <c r="E145" s="232" t="n"/>
      <c r="F145" s="232" t="n"/>
      <c r="G145" s="232" t="n"/>
      <c r="H145" s="232" t="n"/>
    </row>
    <row r="146" ht="15.75" customHeight="1" s="132">
      <c r="A146" s="232" t="n"/>
      <c r="B146" s="232" t="n"/>
      <c r="C146" s="232" t="n"/>
      <c r="D146" s="232" t="n"/>
      <c r="E146" s="232" t="n"/>
      <c r="F146" s="232" t="n"/>
      <c r="G146" s="232" t="n"/>
      <c r="H146" s="232" t="n"/>
    </row>
    <row r="147" ht="15.75" customHeight="1" s="132">
      <c r="A147" s="232" t="n"/>
      <c r="B147" s="232" t="n"/>
      <c r="C147" s="232" t="n"/>
      <c r="D147" s="232" t="n"/>
      <c r="E147" s="232" t="n"/>
      <c r="F147" s="232" t="n"/>
      <c r="G147" s="232" t="n"/>
      <c r="H147" s="232" t="n"/>
    </row>
    <row r="148" ht="15.75" customHeight="1" s="132">
      <c r="A148" s="232" t="n"/>
      <c r="B148" s="232" t="n"/>
      <c r="C148" s="232" t="n"/>
      <c r="D148" s="232" t="n"/>
      <c r="E148" s="232" t="n"/>
      <c r="F148" s="232" t="n"/>
      <c r="G148" s="232" t="n"/>
      <c r="H148" s="232" t="n"/>
    </row>
    <row r="149" ht="15.75" customHeight="1" s="132">
      <c r="A149" s="232" t="n"/>
      <c r="B149" s="232" t="n"/>
      <c r="C149" s="232" t="n"/>
      <c r="D149" s="232" t="n"/>
      <c r="E149" s="232" t="n"/>
      <c r="F149" s="232" t="n"/>
      <c r="G149" s="232" t="n"/>
      <c r="H149" s="232" t="n"/>
    </row>
    <row r="150" ht="15.75" customHeight="1" s="132">
      <c r="A150" s="232" t="n"/>
      <c r="B150" s="232" t="n"/>
      <c r="C150" s="232" t="n"/>
      <c r="D150" s="232" t="n"/>
      <c r="E150" s="232" t="n"/>
      <c r="F150" s="232" t="n"/>
      <c r="G150" s="232" t="n"/>
      <c r="H150" s="232" t="n"/>
    </row>
    <row r="151" ht="15.75" customHeight="1" s="132">
      <c r="A151" s="232" t="n"/>
      <c r="B151" s="232" t="n"/>
      <c r="C151" s="232" t="n"/>
      <c r="D151" s="232" t="n"/>
      <c r="E151" s="232" t="n"/>
      <c r="F151" s="232" t="n"/>
      <c r="G151" s="232" t="n"/>
      <c r="H151" s="232" t="n"/>
    </row>
    <row r="152" ht="15.75" customHeight="1" s="132">
      <c r="A152" s="232" t="n"/>
      <c r="B152" s="232" t="n"/>
      <c r="C152" s="232" t="n"/>
      <c r="D152" s="232" t="n"/>
      <c r="E152" s="232" t="n"/>
      <c r="F152" s="232" t="n"/>
      <c r="G152" s="232" t="n"/>
      <c r="H152" s="232" t="n"/>
    </row>
    <row r="153" ht="15.75" customHeight="1" s="132">
      <c r="A153" s="232" t="n"/>
      <c r="B153" s="232" t="n"/>
      <c r="C153" s="232" t="n"/>
      <c r="D153" s="232" t="n"/>
      <c r="E153" s="232" t="n"/>
      <c r="F153" s="232" t="n"/>
      <c r="G153" s="232" t="n"/>
      <c r="H153" s="232" t="n"/>
    </row>
    <row r="154" ht="15.75" customHeight="1" s="132">
      <c r="A154" s="232" t="n"/>
      <c r="B154" s="232" t="n"/>
      <c r="C154" s="232" t="n"/>
      <c r="D154" s="232" t="n"/>
      <c r="E154" s="232" t="n"/>
      <c r="F154" s="232" t="n"/>
      <c r="G154" s="232" t="n"/>
      <c r="H154" s="232" t="n"/>
    </row>
    <row r="155" ht="15.75" customHeight="1" s="132">
      <c r="A155" s="232" t="n"/>
      <c r="B155" s="232" t="n"/>
      <c r="C155" s="232" t="n"/>
      <c r="D155" s="232" t="n"/>
      <c r="E155" s="232" t="n"/>
      <c r="F155" s="232" t="n"/>
      <c r="G155" s="232" t="n"/>
      <c r="H155" s="232" t="n"/>
    </row>
    <row r="156" ht="15.75" customHeight="1" s="132">
      <c r="A156" s="232" t="n"/>
      <c r="B156" s="232" t="n"/>
      <c r="C156" s="232" t="n"/>
      <c r="D156" s="232" t="n"/>
      <c r="E156" s="232" t="n"/>
      <c r="F156" s="232" t="n"/>
      <c r="G156" s="232" t="n"/>
      <c r="H156" s="232" t="n"/>
    </row>
    <row r="157" ht="15.75" customHeight="1" s="132">
      <c r="A157" s="232" t="n"/>
      <c r="B157" s="232" t="n"/>
      <c r="C157" s="232" t="n"/>
      <c r="D157" s="232" t="n"/>
      <c r="E157" s="232" t="n"/>
      <c r="F157" s="232" t="n"/>
      <c r="G157" s="232" t="n"/>
      <c r="H157" s="232" t="n"/>
    </row>
    <row r="158" ht="15.75" customHeight="1" s="132">
      <c r="A158" s="232" t="n"/>
      <c r="B158" s="232" t="n"/>
      <c r="C158" s="232" t="n"/>
      <c r="D158" s="232" t="n"/>
      <c r="E158" s="232" t="n"/>
      <c r="F158" s="232" t="n"/>
      <c r="G158" s="232" t="n"/>
      <c r="H158" s="232" t="n"/>
    </row>
    <row r="159" ht="15.75" customHeight="1" s="132">
      <c r="A159" s="232" t="n"/>
      <c r="B159" s="232" t="n"/>
      <c r="C159" s="232" t="n"/>
      <c r="D159" s="232" t="n"/>
      <c r="E159" s="232" t="n"/>
      <c r="F159" s="232" t="n"/>
      <c r="G159" s="232" t="n"/>
      <c r="H159" s="232" t="n"/>
    </row>
    <row r="160" ht="15.75" customHeight="1" s="132">
      <c r="A160" s="232" t="n"/>
      <c r="B160" s="232" t="n"/>
      <c r="C160" s="232" t="n"/>
      <c r="D160" s="232" t="n"/>
      <c r="E160" s="232" t="n"/>
      <c r="F160" s="232" t="n"/>
      <c r="G160" s="232" t="n"/>
      <c r="H160" s="232" t="n"/>
    </row>
    <row r="161" ht="15.75" customHeight="1" s="132">
      <c r="A161" s="232" t="n"/>
      <c r="B161" s="232" t="n"/>
      <c r="C161" s="232" t="n"/>
      <c r="D161" s="232" t="n"/>
      <c r="E161" s="232" t="n"/>
      <c r="F161" s="232" t="n"/>
      <c r="G161" s="232" t="n"/>
      <c r="H161" s="232" t="n"/>
    </row>
    <row r="162" ht="15.75" customHeight="1" s="132">
      <c r="A162" s="232" t="n"/>
      <c r="B162" s="232" t="n"/>
      <c r="C162" s="232" t="n"/>
      <c r="D162" s="232" t="n"/>
      <c r="E162" s="232" t="n"/>
      <c r="F162" s="232" t="n"/>
      <c r="G162" s="232" t="n"/>
      <c r="H162" s="232" t="n"/>
    </row>
    <row r="163" ht="15.75" customHeight="1" s="132">
      <c r="A163" s="232" t="n"/>
      <c r="B163" s="232" t="n"/>
      <c r="C163" s="232" t="n"/>
      <c r="D163" s="232" t="n"/>
      <c r="E163" s="232" t="n"/>
      <c r="F163" s="232" t="n"/>
      <c r="G163" s="232" t="n"/>
      <c r="H163" s="232" t="n"/>
    </row>
    <row r="164" ht="15.75" customHeight="1" s="132">
      <c r="A164" s="232" t="n"/>
      <c r="B164" s="232" t="n"/>
      <c r="C164" s="232" t="n"/>
      <c r="D164" s="232" t="n"/>
      <c r="E164" s="232" t="n"/>
      <c r="F164" s="232" t="n"/>
      <c r="G164" s="232" t="n"/>
      <c r="H164" s="232" t="n"/>
    </row>
    <row r="165" ht="15.75" customHeight="1" s="132">
      <c r="A165" s="232" t="n"/>
      <c r="B165" s="232" t="n"/>
      <c r="C165" s="232" t="n"/>
      <c r="D165" s="232" t="n"/>
      <c r="E165" s="232" t="n"/>
      <c r="F165" s="232" t="n"/>
      <c r="G165" s="232" t="n"/>
      <c r="H165" s="232" t="n"/>
    </row>
    <row r="166" ht="15.75" customHeight="1" s="132">
      <c r="A166" s="232" t="n"/>
      <c r="B166" s="232" t="n"/>
      <c r="C166" s="232" t="n"/>
      <c r="D166" s="232" t="n"/>
      <c r="E166" s="232" t="n"/>
      <c r="F166" s="232" t="n"/>
      <c r="G166" s="232" t="n"/>
      <c r="H166" s="232" t="n"/>
    </row>
    <row r="167" ht="15.75" customHeight="1" s="132">
      <c r="A167" s="232" t="n"/>
      <c r="B167" s="232" t="n"/>
      <c r="C167" s="232" t="n"/>
      <c r="D167" s="232" t="n"/>
      <c r="E167" s="232" t="n"/>
      <c r="F167" s="232" t="n"/>
      <c r="G167" s="232" t="n"/>
      <c r="H167" s="232" t="n"/>
    </row>
    <row r="168" ht="15.75" customHeight="1" s="132">
      <c r="A168" s="232" t="n"/>
      <c r="B168" s="232" t="n"/>
      <c r="C168" s="232" t="n"/>
      <c r="D168" s="232" t="n"/>
      <c r="E168" s="232" t="n"/>
      <c r="F168" s="232" t="n"/>
      <c r="G168" s="232" t="n"/>
      <c r="H168" s="232" t="n"/>
    </row>
    <row r="169" ht="15.75" customHeight="1" s="132">
      <c r="A169" s="232" t="n"/>
      <c r="B169" s="232" t="n"/>
      <c r="C169" s="232" t="n"/>
      <c r="D169" s="232" t="n"/>
      <c r="E169" s="232" t="n"/>
      <c r="F169" s="232" t="n"/>
      <c r="G169" s="232" t="n"/>
      <c r="H169" s="232" t="n"/>
    </row>
    <row r="170" ht="15.75" customHeight="1" s="132">
      <c r="A170" s="232" t="n"/>
      <c r="B170" s="232" t="n"/>
      <c r="C170" s="232" t="n"/>
      <c r="D170" s="232" t="n"/>
      <c r="E170" s="232" t="n"/>
      <c r="F170" s="232" t="n"/>
      <c r="G170" s="232" t="n"/>
      <c r="H170" s="232" t="n"/>
    </row>
    <row r="171" ht="15.75" customHeight="1" s="132">
      <c r="A171" s="232" t="n"/>
      <c r="B171" s="232" t="n"/>
      <c r="C171" s="232" t="n"/>
      <c r="D171" s="232" t="n"/>
      <c r="E171" s="232" t="n"/>
      <c r="F171" s="232" t="n"/>
      <c r="G171" s="232" t="n"/>
      <c r="H171" s="232" t="n"/>
    </row>
    <row r="172" ht="15.75" customHeight="1" s="132">
      <c r="A172" s="232" t="n"/>
      <c r="B172" s="232" t="n"/>
      <c r="C172" s="232" t="n"/>
      <c r="D172" s="232" t="n"/>
      <c r="E172" s="232" t="n"/>
      <c r="F172" s="232" t="n"/>
      <c r="G172" s="232" t="n"/>
      <c r="H172" s="232" t="n"/>
    </row>
    <row r="173" ht="15.75" customHeight="1" s="132">
      <c r="A173" s="232" t="n"/>
      <c r="B173" s="232" t="n"/>
      <c r="C173" s="232" t="n"/>
      <c r="D173" s="232" t="n"/>
      <c r="E173" s="232" t="n"/>
      <c r="F173" s="232" t="n"/>
      <c r="G173" s="232" t="n"/>
      <c r="H173" s="232" t="n"/>
    </row>
    <row r="174" ht="15.75" customHeight="1" s="132">
      <c r="A174" s="232" t="n"/>
      <c r="B174" s="232" t="n"/>
      <c r="C174" s="232" t="n"/>
      <c r="D174" s="232" t="n"/>
      <c r="E174" s="232" t="n"/>
      <c r="F174" s="232" t="n"/>
      <c r="G174" s="232" t="n"/>
      <c r="H174" s="232" t="n"/>
    </row>
    <row r="175" ht="15.75" customHeight="1" s="132">
      <c r="A175" s="232" t="n"/>
      <c r="B175" s="232" t="n"/>
      <c r="C175" s="232" t="n"/>
      <c r="D175" s="232" t="n"/>
      <c r="E175" s="232" t="n"/>
      <c r="F175" s="232" t="n"/>
      <c r="G175" s="232" t="n"/>
      <c r="H175" s="232" t="n"/>
    </row>
    <row r="176" ht="15.75" customHeight="1" s="132">
      <c r="A176" s="232" t="n"/>
      <c r="B176" s="232" t="n"/>
      <c r="C176" s="232" t="n"/>
      <c r="D176" s="232" t="n"/>
      <c r="E176" s="232" t="n"/>
      <c r="F176" s="232" t="n"/>
      <c r="G176" s="232" t="n"/>
      <c r="H176" s="232" t="n"/>
    </row>
    <row r="177" ht="15.75" customHeight="1" s="132">
      <c r="A177" s="232" t="n"/>
      <c r="B177" s="232" t="n"/>
      <c r="C177" s="232" t="n"/>
      <c r="D177" s="232" t="n"/>
      <c r="E177" s="232" t="n"/>
      <c r="F177" s="232" t="n"/>
      <c r="G177" s="232" t="n"/>
      <c r="H177" s="232" t="n"/>
    </row>
    <row r="178" ht="15.75" customHeight="1" s="132">
      <c r="A178" s="232" t="n"/>
      <c r="B178" s="232" t="n"/>
      <c r="C178" s="232" t="n"/>
      <c r="D178" s="232" t="n"/>
      <c r="E178" s="232" t="n"/>
      <c r="F178" s="232" t="n"/>
      <c r="G178" s="232" t="n"/>
      <c r="H178" s="232" t="n"/>
    </row>
    <row r="179" ht="15.75" customHeight="1" s="132">
      <c r="A179" s="232" t="n"/>
      <c r="B179" s="232" t="n"/>
      <c r="C179" s="232" t="n"/>
      <c r="D179" s="232" t="n"/>
      <c r="E179" s="232" t="n"/>
      <c r="F179" s="232" t="n"/>
      <c r="G179" s="232" t="n"/>
      <c r="H179" s="232" t="n"/>
    </row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mergeCells count="129">
    <mergeCell ref="B127:H127"/>
    <mergeCell ref="C15:D15"/>
    <mergeCell ref="B55:H55"/>
    <mergeCell ref="A138:H138"/>
    <mergeCell ref="B64:H64"/>
    <mergeCell ref="A3:F3"/>
    <mergeCell ref="B51:H51"/>
    <mergeCell ref="A13:D13"/>
    <mergeCell ref="B97:H97"/>
    <mergeCell ref="B106:H106"/>
    <mergeCell ref="B129:H129"/>
    <mergeCell ref="B90:H90"/>
    <mergeCell ref="B66:H66"/>
    <mergeCell ref="B140:H140"/>
    <mergeCell ref="B52:H52"/>
    <mergeCell ref="B42:H42"/>
    <mergeCell ref="C17:D17"/>
    <mergeCell ref="B60:H60"/>
    <mergeCell ref="B134:D134"/>
    <mergeCell ref="B44:H44"/>
    <mergeCell ref="B53:H53"/>
    <mergeCell ref="A38:H38"/>
    <mergeCell ref="B116:H116"/>
    <mergeCell ref="B108:H108"/>
    <mergeCell ref="B84:H84"/>
    <mergeCell ref="B118:H118"/>
    <mergeCell ref="A24:H24"/>
    <mergeCell ref="C14:D14"/>
    <mergeCell ref="B133:H133"/>
    <mergeCell ref="E136:H136"/>
    <mergeCell ref="B142:H142"/>
    <mergeCell ref="B80:H80"/>
    <mergeCell ref="B89:H89"/>
    <mergeCell ref="B79:H79"/>
    <mergeCell ref="G7:H7"/>
    <mergeCell ref="B135:H135"/>
    <mergeCell ref="E21:H21"/>
    <mergeCell ref="B54:H54"/>
    <mergeCell ref="B125:H125"/>
    <mergeCell ref="B68:D68"/>
    <mergeCell ref="B72:H72"/>
    <mergeCell ref="B81:H81"/>
    <mergeCell ref="B56:H56"/>
    <mergeCell ref="B71:H71"/>
    <mergeCell ref="B96:H96"/>
    <mergeCell ref="B105:H105"/>
    <mergeCell ref="B43:H43"/>
    <mergeCell ref="B111:H111"/>
    <mergeCell ref="B120:H120"/>
    <mergeCell ref="B98:H98"/>
    <mergeCell ref="C8:D8"/>
    <mergeCell ref="A22:H22"/>
    <mergeCell ref="B107:H107"/>
    <mergeCell ref="B59:D59"/>
    <mergeCell ref="B57:H57"/>
    <mergeCell ref="G16:H16"/>
    <mergeCell ref="B88:H88"/>
    <mergeCell ref="B82:H82"/>
    <mergeCell ref="G9:H9"/>
    <mergeCell ref="B99:H99"/>
    <mergeCell ref="B136:D136"/>
    <mergeCell ref="B74:H74"/>
    <mergeCell ref="G2:H2"/>
    <mergeCell ref="B83:H83"/>
    <mergeCell ref="G11:H11"/>
    <mergeCell ref="B92:H92"/>
    <mergeCell ref="B124:H124"/>
    <mergeCell ref="B45:H45"/>
    <mergeCell ref="G39:H39"/>
    <mergeCell ref="B39:F39"/>
    <mergeCell ref="B126:H126"/>
    <mergeCell ref="B75:H75"/>
    <mergeCell ref="B109:H109"/>
    <mergeCell ref="B47:H47"/>
    <mergeCell ref="B62:H62"/>
    <mergeCell ref="B46:H46"/>
    <mergeCell ref="A139:H139"/>
    <mergeCell ref="B41:D41"/>
    <mergeCell ref="G15:H15"/>
    <mergeCell ref="B50:D50"/>
    <mergeCell ref="E20:H20"/>
    <mergeCell ref="B70:H70"/>
    <mergeCell ref="B48:H48"/>
    <mergeCell ref="B113:D113"/>
    <mergeCell ref="E13:H13"/>
    <mergeCell ref="A131:H131"/>
    <mergeCell ref="C7:D7"/>
    <mergeCell ref="G1:H1"/>
    <mergeCell ref="B73:H73"/>
    <mergeCell ref="E6:H6"/>
    <mergeCell ref="B87:H87"/>
    <mergeCell ref="A19:H19"/>
    <mergeCell ref="B77:D77"/>
    <mergeCell ref="B128:H128"/>
    <mergeCell ref="B86:D86"/>
    <mergeCell ref="B65:H65"/>
    <mergeCell ref="B132:D132"/>
    <mergeCell ref="G8:H8"/>
    <mergeCell ref="G17:H17"/>
    <mergeCell ref="B114:H114"/>
    <mergeCell ref="B63:H63"/>
    <mergeCell ref="B123:H123"/>
    <mergeCell ref="F134:H134"/>
    <mergeCell ref="C10:D10"/>
    <mergeCell ref="C16:D16"/>
    <mergeCell ref="B110:H110"/>
    <mergeCell ref="G10:H10"/>
    <mergeCell ref="B91:H91"/>
    <mergeCell ref="B100:H100"/>
    <mergeCell ref="C9:D9"/>
    <mergeCell ref="A37:H37"/>
    <mergeCell ref="G3:H3"/>
    <mergeCell ref="B141:H141"/>
    <mergeCell ref="B95:D95"/>
    <mergeCell ref="B115:H115"/>
    <mergeCell ref="B104:D104"/>
    <mergeCell ref="B93:H93"/>
    <mergeCell ref="A6:D6"/>
    <mergeCell ref="B102:H102"/>
    <mergeCell ref="C11:D11"/>
    <mergeCell ref="B117:H117"/>
    <mergeCell ref="G14:H14"/>
    <mergeCell ref="A23:H23"/>
    <mergeCell ref="B61:H61"/>
    <mergeCell ref="B101:H101"/>
    <mergeCell ref="B119:H119"/>
    <mergeCell ref="B122:D122"/>
    <mergeCell ref="B69:H69"/>
    <mergeCell ref="B78:H78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 outlineLevelRow="2"/>
  <cols>
    <col width="22" customWidth="1" style="132" min="1" max="1"/>
    <col width="14" customWidth="1" style="132" min="2" max="2"/>
    <col width="50" customWidth="1" style="132" min="3" max="3"/>
    <col width="30" customWidth="1" style="132" min="4" max="4"/>
    <col width="14" customWidth="1" style="132" min="5" max="5"/>
    <col width="22" customWidth="1" style="132" min="6" max="6"/>
    <col width="45" customWidth="1" style="132" min="7" max="7"/>
    <col width="20" customWidth="1" style="132" min="8" max="8"/>
    <col width="8.710000000000001" customWidth="1" style="132" min="9" max="26"/>
  </cols>
  <sheetData>
    <row r="1">
      <c r="A1" s="175" t="inlineStr">
        <is>
          <t>RESEARCH INTELLIGENCE ENGINE (RIE) — UNIFIED OBJECT REGISTRY PORTAL</t>
        </is>
      </c>
      <c r="G1" s="260">
        <f>HYPERLINK("#'01_Executive_Dashboard'!A1", "⮌ BACK TO DASHBOARD")</f>
        <v/>
      </c>
      <c r="H1" s="260">
        <f>HYPERLINK("#'04_Lineage_Explorer'!A1", "➔ LINEAGE EXPLORER")</f>
        <v/>
      </c>
    </row>
    <row r="2">
      <c r="A2" s="261">
        <f>"Authoritative Epistemic Inventory (" &amp; COUNTA(DATA_KO!A2:A1000) &amp; " KOs, " &amp; COUNTA(DATA_IO!A2:A1000) &amp; " IOs, " &amp; COUNTA(DATA_EO!A2:A1000) &amp; " EOs = " &amp; (COUNTA(DATA_KO!A2:A1000)+COUNTA(DATA_IO!A2:A1000)+COUNTA(DATA_EO!A2:A1000)) &amp; " Total Objects) | Substrate Dynamic Projection"</f>
        <v/>
      </c>
    </row>
    <row r="3"/>
    <row r="4">
      <c r="A4" s="262" t="inlineStr">
        <is>
          <t>Dedicated Object Layer</t>
        </is>
      </c>
      <c r="B4" s="262" t="inlineStr">
        <is>
          <t>Count</t>
        </is>
      </c>
      <c r="C4" s="262" t="inlineStr">
        <is>
          <t>Layer Definition</t>
        </is>
      </c>
      <c r="D4" s="262" t="inlineStr">
        <is>
          <t>Direct Registry Access</t>
        </is>
      </c>
      <c r="E4" s="212" t="inlineStr">
        <is>
          <t>Confidence</t>
        </is>
      </c>
      <c r="F4" s="212" t="inlineStr">
        <is>
          <t>Workflow / Review Status</t>
        </is>
      </c>
      <c r="G4" s="212" t="inlineStr">
        <is>
          <t>Supporting References</t>
        </is>
      </c>
      <c r="H4" s="212" t="inlineStr">
        <is>
          <t>Lineage Action</t>
        </is>
      </c>
    </row>
    <row r="5">
      <c r="A5" s="263" t="inlineStr">
        <is>
          <t>02A: Knowledge Objects (KO)</t>
        </is>
      </c>
      <c r="B5" s="263">
        <f>COUNTA(DATA_KO!A2:A1000)</f>
        <v/>
      </c>
      <c r="C5" s="264" t="inlineStr">
        <is>
          <t>Layer 3 synthesized institutional concepts awaiting Level 5 ratification</t>
        </is>
      </c>
      <c r="D5" s="265">
        <f>HYPERLINK("#'02A_KO_Registry'!A1", "➔ OPEN KO REGISTRY")</f>
        <v/>
      </c>
      <c r="E5" s="266" t="n">
        <v>0.88</v>
      </c>
      <c r="F5" s="266" t="inlineStr">
        <is>
          <t>CANDIDATE</t>
        </is>
      </c>
      <c r="G5" s="266" t="inlineStr">
        <is>
          <t>CANDIDATE_QUEUE</t>
        </is>
      </c>
      <c r="H5" s="267" t="inlineStr">
        <is>
          <t>None</t>
        </is>
      </c>
    </row>
    <row r="6">
      <c r="A6" s="263" t="inlineStr">
        <is>
          <t>02B: Interpretation Objects (IO)</t>
        </is>
      </c>
      <c r="B6" s="263">
        <f>COUNTA(DATA_IO!A2:A1000)</f>
        <v/>
      </c>
      <c r="C6" s="264" t="inlineStr">
        <is>
          <t>Layer 2 analytical models paired with competing counter-hypotheses</t>
        </is>
      </c>
      <c r="D6" s="265">
        <f>HYPERLINK("#'02B_IO_Registry'!A1", "➔ OPEN IO REGISTRY")</f>
        <v/>
      </c>
      <c r="E6" s="266" t="n">
        <v>0.9</v>
      </c>
      <c r="F6" s="266" t="inlineStr">
        <is>
          <t>CANDIDATE</t>
        </is>
      </c>
      <c r="G6" s="266" t="inlineStr">
        <is>
          <t>CANDIDATE_QUEUE</t>
        </is>
      </c>
      <c r="H6" s="267" t="inlineStr">
        <is>
          <t>None</t>
        </is>
      </c>
    </row>
    <row r="7">
      <c r="A7" s="263" t="inlineStr">
        <is>
          <t>02C: Evidence Objects (EO)</t>
        </is>
      </c>
      <c r="B7" s="263">
        <f>COUNTA(DATA_EO!A2:A1000)</f>
        <v/>
      </c>
      <c r="C7" s="264" t="inlineStr">
        <is>
          <t>Layer 1 ground truth empirical observations with exact timestamps</t>
        </is>
      </c>
      <c r="D7" s="265">
        <f>HYPERLINK("#'02C_EO_Registry'!A1", "➔ OPEN EO REGISTRY")</f>
        <v/>
      </c>
      <c r="E7" s="266" t="n">
        <v>0.82</v>
      </c>
      <c r="F7" s="266" t="inlineStr">
        <is>
          <t>CANDIDATE</t>
        </is>
      </c>
      <c r="G7" s="266" t="inlineStr">
        <is>
          <t>CANDIDATE_QUEUE</t>
        </is>
      </c>
      <c r="H7" s="267" t="inlineStr">
        <is>
          <t>None</t>
        </is>
      </c>
    </row>
    <row r="8">
      <c r="A8" s="268" t="inlineStr">
        <is>
          <t>KO-FIN-MINER-RATIO-BREAKOUT-001</t>
        </is>
      </c>
      <c r="B8" s="268" t="inlineStr">
        <is>
          <t>KO</t>
        </is>
      </c>
      <c r="C8" s="267" t="inlineStr">
        <is>
          <t>Mining Equity Operating Leverage Base Breakout Dynamics</t>
        </is>
      </c>
      <c r="D8" s="267" t="inlineStr">
        <is>
          <t>Equity Technical Analysis / Resource Economics</t>
        </is>
      </c>
      <c r="E8" s="266" t="n">
        <v>0.86</v>
      </c>
      <c r="F8" s="266" t="inlineStr">
        <is>
          <t>CANDIDATE</t>
        </is>
      </c>
      <c r="G8" s="266" t="inlineStr">
        <is>
          <t>CANDIDATE_QUEUE</t>
        </is>
      </c>
      <c r="H8" s="267" t="inlineStr">
        <is>
          <t>None</t>
        </is>
      </c>
    </row>
    <row r="9">
      <c r="A9" s="269" t="inlineStr">
        <is>
          <t>UNIFIED KNOWLEDGE OBJECT (KO) ACTIVE SUBSTRATE PROJECTION</t>
        </is>
      </c>
      <c r="B9" s="268" t="inlineStr">
        <is>
          <t>KO</t>
        </is>
      </c>
      <c r="C9" s="267" t="inlineStr">
        <is>
          <t>Pre-emptive Tightening Discounting and Policy Announcement Bottoms</t>
        </is>
      </c>
      <c r="D9" s="267" t="inlineStr">
        <is>
          <t>Macro Economics / Monetary Transmission</t>
        </is>
      </c>
      <c r="E9" s="266" t="n">
        <v>0.78</v>
      </c>
      <c r="F9" s="266" t="inlineStr">
        <is>
          <t>CANDIDATE</t>
        </is>
      </c>
      <c r="G9" s="266" t="inlineStr">
        <is>
          <t>CANDIDATE_QUEUE</t>
        </is>
      </c>
      <c r="H9" s="267" t="inlineStr">
        <is>
          <t>None</t>
        </is>
      </c>
    </row>
    <row r="10">
      <c r="A10" s="270" t="inlineStr">
        <is>
          <t>Object_ID</t>
        </is>
      </c>
      <c r="B10" s="270" t="inlineStr">
        <is>
          <t>Object_Type</t>
        </is>
      </c>
      <c r="C10" s="270" t="inlineStr">
        <is>
          <t>Title / Concept</t>
        </is>
      </c>
      <c r="D10" s="270" t="inlineStr">
        <is>
          <t>Domain / Source Anchor</t>
        </is>
      </c>
      <c r="E10" s="270" t="inlineStr">
        <is>
          <t>Confidence</t>
        </is>
      </c>
      <c r="F10" s="270" t="inlineStr">
        <is>
          <t>Workflow / Review Status</t>
        </is>
      </c>
      <c r="G10" s="270" t="inlineStr">
        <is>
          <t>Supporting References</t>
        </is>
      </c>
      <c r="H10" s="270" t="inlineStr">
        <is>
          <t>Lineage Action</t>
        </is>
      </c>
    </row>
    <row r="11">
      <c r="A11" s="271">
        <f>IF(DATA_KO!A2&lt;&gt;"",""&amp;DATA_KO!A2,"")</f>
        <v/>
      </c>
      <c r="B11" s="271">
        <f>IF(A11&lt;&gt;"","KO","")</f>
        <v/>
      </c>
      <c r="C11" s="264">
        <f>IF(A11&lt;&gt;"",""&amp;DATA_KO!B2,"")</f>
        <v/>
      </c>
      <c r="D11" s="264">
        <f>IF(A11&lt;&gt;"",""&amp;DATA_KO!C2,"")</f>
        <v/>
      </c>
      <c r="E11" s="272">
        <f>IF(A11&lt;&gt;"",DATA_KO!G2,"")</f>
        <v/>
      </c>
      <c r="F11" s="271">
        <f>IF(A11&lt;&gt;"",""&amp;DATA_KO!H2,"")</f>
        <v/>
      </c>
      <c r="G11" s="271">
        <f>IF(A11&lt;&gt;"",""&amp;DATA_KO!E2,"")</f>
        <v/>
      </c>
      <c r="H11" s="265">
        <f>IF(A11&lt;&gt;"","➔ Trace Lineage","")</f>
        <v/>
      </c>
    </row>
    <row r="12">
      <c r="A12" s="271">
        <f>IF(DATA_KO!A3&lt;&gt;"",""&amp;DATA_KO!A3,"")</f>
        <v/>
      </c>
      <c r="B12" s="271">
        <f>IF(A12&lt;&gt;"","KO","")</f>
        <v/>
      </c>
      <c r="C12" s="264">
        <f>IF(A12&lt;&gt;"",""&amp;DATA_KO!B3,"")</f>
        <v/>
      </c>
      <c r="D12" s="264">
        <f>IF(A12&lt;&gt;"",""&amp;DATA_KO!C3,"")</f>
        <v/>
      </c>
      <c r="E12" s="272">
        <f>IF(A12&lt;&gt;"",DATA_KO!G3,"")</f>
        <v/>
      </c>
      <c r="F12" s="271">
        <f>IF(A12&lt;&gt;"",""&amp;DATA_KO!H3,"")</f>
        <v/>
      </c>
      <c r="G12" s="271">
        <f>IF(A12&lt;&gt;"",""&amp;DATA_KO!E3,"")</f>
        <v/>
      </c>
      <c r="H12" s="265">
        <f>IF(A12&lt;&gt;"","➔ Trace Lineage","")</f>
        <v/>
      </c>
    </row>
    <row r="13">
      <c r="A13" s="271">
        <f>IF(DATA_KO!A4&lt;&gt;"",""&amp;DATA_KO!A4,"")</f>
        <v/>
      </c>
      <c r="B13" s="271">
        <f>IF(A13&lt;&gt;"","KO","")</f>
        <v/>
      </c>
      <c r="C13" s="264">
        <f>IF(A13&lt;&gt;"",""&amp;DATA_KO!B4,"")</f>
        <v/>
      </c>
      <c r="D13" s="264">
        <f>IF(A13&lt;&gt;"",""&amp;DATA_KO!C4,"")</f>
        <v/>
      </c>
      <c r="E13" s="272">
        <f>IF(A13&lt;&gt;"",DATA_KO!G4,"")</f>
        <v/>
      </c>
      <c r="F13" s="271">
        <f>IF(A13&lt;&gt;"",""&amp;DATA_KO!H4,"")</f>
        <v/>
      </c>
      <c r="G13" s="271">
        <f>IF(A13&lt;&gt;"",""&amp;DATA_KO!E4,"")</f>
        <v/>
      </c>
      <c r="H13" s="265">
        <f>IF(A13&lt;&gt;"","➔ Trace Lineage","")</f>
        <v/>
      </c>
    </row>
    <row r="14">
      <c r="A14" s="271">
        <f>IF(DATA_KO!A5&lt;&gt;"",""&amp;DATA_KO!A5,"")</f>
        <v/>
      </c>
      <c r="B14" s="271">
        <f>IF(A14&lt;&gt;"","KO","")</f>
        <v/>
      </c>
      <c r="C14" s="264">
        <f>IF(A14&lt;&gt;"",""&amp;DATA_KO!B5,"")</f>
        <v/>
      </c>
      <c r="D14" s="264">
        <f>IF(A14&lt;&gt;"",""&amp;DATA_KO!C5,"")</f>
        <v/>
      </c>
      <c r="E14" s="272">
        <f>IF(A14&lt;&gt;"",DATA_KO!G5,"")</f>
        <v/>
      </c>
      <c r="F14" s="271">
        <f>IF(A14&lt;&gt;"",""&amp;DATA_KO!H5,"")</f>
        <v/>
      </c>
      <c r="G14" s="271">
        <f>IF(A14&lt;&gt;"",""&amp;DATA_KO!E5,"")</f>
        <v/>
      </c>
      <c r="H14" s="265">
        <f>IF(A14&lt;&gt;"","➔ Trace Lineage","")</f>
        <v/>
      </c>
    </row>
    <row r="15">
      <c r="A15" s="271">
        <f>IF(DATA_KO!A6&lt;&gt;"",""&amp;DATA_KO!A6,"")</f>
        <v/>
      </c>
      <c r="B15" s="271">
        <f>IF(A15&lt;&gt;"","KO","")</f>
        <v/>
      </c>
      <c r="C15" s="264">
        <f>IF(A15&lt;&gt;"",""&amp;DATA_KO!B6,"")</f>
        <v/>
      </c>
      <c r="D15" s="264">
        <f>IF(A15&lt;&gt;"",""&amp;DATA_KO!C6,"")</f>
        <v/>
      </c>
      <c r="E15" s="272">
        <f>IF(A15&lt;&gt;"",DATA_KO!G6,"")</f>
        <v/>
      </c>
      <c r="F15" s="271">
        <f>IF(A15&lt;&gt;"",""&amp;DATA_KO!H6,"")</f>
        <v/>
      </c>
      <c r="G15" s="271">
        <f>IF(A15&lt;&gt;"",""&amp;DATA_KO!E6,"")</f>
        <v/>
      </c>
      <c r="H15" s="265">
        <f>IF(A15&lt;&gt;"","➔ Trace Lineage","")</f>
        <v/>
      </c>
    </row>
    <row r="16">
      <c r="A16" s="271">
        <f>IF(DATA_KO!A7&lt;&gt;"",""&amp;DATA_KO!A7,"")</f>
        <v/>
      </c>
      <c r="B16" s="271">
        <f>IF(A16&lt;&gt;"","KO","")</f>
        <v/>
      </c>
      <c r="C16" s="264">
        <f>IF(A16&lt;&gt;"",""&amp;DATA_KO!B7,"")</f>
        <v/>
      </c>
      <c r="D16" s="264">
        <f>IF(A16&lt;&gt;"",""&amp;DATA_KO!C7,"")</f>
        <v/>
      </c>
      <c r="E16" s="272">
        <f>IF(A16&lt;&gt;"",DATA_KO!G7,"")</f>
        <v/>
      </c>
      <c r="F16" s="271">
        <f>IF(A16&lt;&gt;"",""&amp;DATA_KO!H7,"")</f>
        <v/>
      </c>
      <c r="G16" s="271">
        <f>IF(A16&lt;&gt;"",""&amp;DATA_KO!E7,"")</f>
        <v/>
      </c>
      <c r="H16" s="265">
        <f>IF(A16&lt;&gt;"","➔ Trace Lineage","")</f>
        <v/>
      </c>
    </row>
    <row r="17">
      <c r="A17" s="271">
        <f>IF(DATA_KO!A8&lt;&gt;"",""&amp;DATA_KO!A8,"")</f>
        <v/>
      </c>
      <c r="B17" s="271">
        <f>IF(A17&lt;&gt;"","KO","")</f>
        <v/>
      </c>
      <c r="C17" s="264">
        <f>IF(A17&lt;&gt;"",""&amp;DATA_KO!B8,"")</f>
        <v/>
      </c>
      <c r="D17" s="264">
        <f>IF(A17&lt;&gt;"",""&amp;DATA_KO!C8,"")</f>
        <v/>
      </c>
      <c r="E17" s="272">
        <f>IF(A17&lt;&gt;"",DATA_KO!G8,"")</f>
        <v/>
      </c>
      <c r="F17" s="271">
        <f>IF(A17&lt;&gt;"",""&amp;DATA_KO!H8,"")</f>
        <v/>
      </c>
      <c r="G17" s="271">
        <f>IF(A17&lt;&gt;"",""&amp;DATA_KO!E8,"")</f>
        <v/>
      </c>
      <c r="H17" s="265">
        <f>IF(A17&lt;&gt;"","➔ Trace Lineage","")</f>
        <v/>
      </c>
    </row>
    <row r="18">
      <c r="A18" s="271">
        <f>IF(DATA_KO!A9&lt;&gt;"",""&amp;DATA_KO!A9,"")</f>
        <v/>
      </c>
      <c r="B18" s="271">
        <f>IF(A18&lt;&gt;"","KO","")</f>
        <v/>
      </c>
      <c r="C18" s="264">
        <f>IF(A18&lt;&gt;"",""&amp;DATA_KO!B9,"")</f>
        <v/>
      </c>
      <c r="D18" s="264">
        <f>IF(A18&lt;&gt;"",""&amp;DATA_KO!C9,"")</f>
        <v/>
      </c>
      <c r="E18" s="272">
        <f>IF(A18&lt;&gt;"",DATA_KO!G9,"")</f>
        <v/>
      </c>
      <c r="F18" s="271">
        <f>IF(A18&lt;&gt;"",""&amp;DATA_KO!H9,"")</f>
        <v/>
      </c>
      <c r="G18" s="271">
        <f>IF(A18&lt;&gt;"",""&amp;DATA_KO!E9,"")</f>
        <v/>
      </c>
      <c r="H18" s="265">
        <f>IF(A18&lt;&gt;"","➔ Trace Lineage","")</f>
        <v/>
      </c>
    </row>
    <row r="19">
      <c r="A19" s="271">
        <f>IF(DATA_KO!A10&lt;&gt;"",""&amp;DATA_KO!A10,"")</f>
        <v/>
      </c>
      <c r="B19" s="271">
        <f>IF(A19&lt;&gt;"","KO","")</f>
        <v/>
      </c>
      <c r="C19" s="264">
        <f>IF(A19&lt;&gt;"",""&amp;DATA_KO!B10,"")</f>
        <v/>
      </c>
      <c r="D19" s="264">
        <f>IF(A19&lt;&gt;"",""&amp;DATA_KO!C10,"")</f>
        <v/>
      </c>
      <c r="E19" s="272">
        <f>IF(A19&lt;&gt;"",DATA_KO!G10,"")</f>
        <v/>
      </c>
      <c r="F19" s="271">
        <f>IF(A19&lt;&gt;"",""&amp;DATA_KO!H10,"")</f>
        <v/>
      </c>
      <c r="G19" s="271">
        <f>IF(A19&lt;&gt;"",""&amp;DATA_KO!E10,"")</f>
        <v/>
      </c>
      <c r="H19" s="265">
        <f>IF(A19&lt;&gt;"","➔ Trace Lineage","")</f>
        <v/>
      </c>
    </row>
    <row r="20">
      <c r="A20" s="271">
        <f>IF(DATA_KO!A11&lt;&gt;"",""&amp;DATA_KO!A11,"")</f>
        <v/>
      </c>
      <c r="B20" s="271">
        <f>IF(A20&lt;&gt;"","KO","")</f>
        <v/>
      </c>
      <c r="C20" s="264">
        <f>IF(A20&lt;&gt;"",""&amp;DATA_KO!B11,"")</f>
        <v/>
      </c>
      <c r="D20" s="264">
        <f>IF(A20&lt;&gt;"",""&amp;DATA_KO!C11,"")</f>
        <v/>
      </c>
      <c r="E20" s="272">
        <f>IF(A20&lt;&gt;"",DATA_KO!G11,"")</f>
        <v/>
      </c>
      <c r="F20" s="271">
        <f>IF(A20&lt;&gt;"",""&amp;DATA_KO!H11,"")</f>
        <v/>
      </c>
      <c r="G20" s="271">
        <f>IF(A20&lt;&gt;"",""&amp;DATA_KO!E11,"")</f>
        <v/>
      </c>
      <c r="H20" s="265">
        <f>IF(A20&lt;&gt;"","➔ Trace Lineage","")</f>
        <v/>
      </c>
    </row>
    <row r="21" ht="15.75" customHeight="1" s="132">
      <c r="A21" s="271">
        <f>IF(DATA_KO!A12&lt;&gt;"",""&amp;DATA_KO!A12,"")</f>
        <v/>
      </c>
      <c r="B21" s="271">
        <f>IF(A21&lt;&gt;"","KO","")</f>
        <v/>
      </c>
      <c r="C21" s="264">
        <f>IF(A21&lt;&gt;"",""&amp;DATA_KO!B12,"")</f>
        <v/>
      </c>
      <c r="D21" s="264">
        <f>IF(A21&lt;&gt;"",""&amp;DATA_KO!C12,"")</f>
        <v/>
      </c>
      <c r="E21" s="272">
        <f>IF(A21&lt;&gt;"",DATA_KO!G12,"")</f>
        <v/>
      </c>
      <c r="F21" s="271">
        <f>IF(A21&lt;&gt;"",""&amp;DATA_KO!H12,"")</f>
        <v/>
      </c>
      <c r="G21" s="271">
        <f>IF(A21&lt;&gt;"",""&amp;DATA_KO!E12,"")</f>
        <v/>
      </c>
      <c r="H21" s="265">
        <f>IF(A21&lt;&gt;"","➔ Trace Lineage","")</f>
        <v/>
      </c>
    </row>
    <row r="22" ht="15.75" customHeight="1" s="132">
      <c r="A22" s="271">
        <f>IF(DATA_KO!A13&lt;&gt;"",""&amp;DATA_KO!A13,"")</f>
        <v/>
      </c>
      <c r="B22" s="271">
        <f>IF(A22&lt;&gt;"","KO","")</f>
        <v/>
      </c>
      <c r="C22" s="264">
        <f>IF(A22&lt;&gt;"",""&amp;DATA_KO!B13,"")</f>
        <v/>
      </c>
      <c r="D22" s="264">
        <f>IF(A22&lt;&gt;"",""&amp;DATA_KO!C13,"")</f>
        <v/>
      </c>
      <c r="E22" s="272">
        <f>IF(A22&lt;&gt;"",DATA_KO!G13,"")</f>
        <v/>
      </c>
      <c r="F22" s="271">
        <f>IF(A22&lt;&gt;"",""&amp;DATA_KO!H13,"")</f>
        <v/>
      </c>
      <c r="G22" s="271">
        <f>IF(A22&lt;&gt;"",""&amp;DATA_KO!E13,"")</f>
        <v/>
      </c>
      <c r="H22" s="265">
        <f>IF(A22&lt;&gt;"","➔ Trace Lineage","")</f>
        <v/>
      </c>
    </row>
    <row r="23" ht="15.75" customHeight="1" s="132">
      <c r="A23" s="271">
        <f>IF(DATA_KO!A14&lt;&gt;"",""&amp;DATA_KO!A14,"")</f>
        <v/>
      </c>
      <c r="B23" s="271">
        <f>IF(A23&lt;&gt;"","KO","")</f>
        <v/>
      </c>
      <c r="C23" s="264">
        <f>IF(A23&lt;&gt;"",""&amp;DATA_KO!B14,"")</f>
        <v/>
      </c>
      <c r="D23" s="264">
        <f>IF(A23&lt;&gt;"",""&amp;DATA_KO!C14,"")</f>
        <v/>
      </c>
      <c r="E23" s="272">
        <f>IF(A23&lt;&gt;"",DATA_KO!G14,"")</f>
        <v/>
      </c>
      <c r="F23" s="271">
        <f>IF(A23&lt;&gt;"",""&amp;DATA_KO!H14,"")</f>
        <v/>
      </c>
      <c r="G23" s="271">
        <f>IF(A23&lt;&gt;"",""&amp;DATA_KO!E14,"")</f>
        <v/>
      </c>
      <c r="H23" s="265">
        <f>IF(A23&lt;&gt;"","➔ Trace Lineage","")</f>
        <v/>
      </c>
    </row>
    <row r="24" ht="15.75" customHeight="1" s="132">
      <c r="A24" s="271">
        <f>IF(DATA_KO!A15&lt;&gt;"",""&amp;DATA_KO!A15,"")</f>
        <v/>
      </c>
      <c r="B24" s="271">
        <f>IF(A24&lt;&gt;"","KO","")</f>
        <v/>
      </c>
      <c r="C24" s="264">
        <f>IF(A24&lt;&gt;"",""&amp;DATA_KO!B15,"")</f>
        <v/>
      </c>
      <c r="D24" s="264">
        <f>IF(A24&lt;&gt;"",""&amp;DATA_KO!C15,"")</f>
        <v/>
      </c>
      <c r="E24" s="272">
        <f>IF(A24&lt;&gt;"",DATA_KO!G15,"")</f>
        <v/>
      </c>
      <c r="F24" s="271">
        <f>IF(A24&lt;&gt;"",""&amp;DATA_KO!H15,"")</f>
        <v/>
      </c>
      <c r="G24" s="271">
        <f>IF(A24&lt;&gt;"",""&amp;DATA_KO!E15,"")</f>
        <v/>
      </c>
      <c r="H24" s="265">
        <f>IF(A24&lt;&gt;"","➔ Trace Lineage","")</f>
        <v/>
      </c>
    </row>
    <row r="25" ht="15.75" customHeight="1" s="132">
      <c r="A25" s="271">
        <f>IF(DATA_KO!A16&lt;&gt;"",""&amp;DATA_KO!A16,"")</f>
        <v/>
      </c>
      <c r="B25" s="271">
        <f>IF(A25&lt;&gt;"","KO","")</f>
        <v/>
      </c>
      <c r="C25" s="264">
        <f>IF(A25&lt;&gt;"",""&amp;DATA_KO!B16,"")</f>
        <v/>
      </c>
      <c r="D25" s="264">
        <f>IF(A25&lt;&gt;"",""&amp;DATA_KO!C16,"")</f>
        <v/>
      </c>
      <c r="E25" s="272">
        <f>IF(A25&lt;&gt;"",DATA_KO!G16,"")</f>
        <v/>
      </c>
      <c r="F25" s="271">
        <f>IF(A25&lt;&gt;"",""&amp;DATA_KO!H16,"")</f>
        <v/>
      </c>
      <c r="G25" s="271">
        <f>IF(A25&lt;&gt;"",""&amp;DATA_KO!E16,"")</f>
        <v/>
      </c>
      <c r="H25" s="265">
        <f>IF(A25&lt;&gt;"","➔ Trace Lineage","")</f>
        <v/>
      </c>
    </row>
    <row r="26" ht="15.75" customHeight="1" s="132">
      <c r="A26" s="271">
        <f>IF(DATA_KO!A17&lt;&gt;"",""&amp;DATA_KO!A17,"")</f>
        <v/>
      </c>
      <c r="B26" s="271">
        <f>IF(A26&lt;&gt;"","KO","")</f>
        <v/>
      </c>
      <c r="C26" s="264">
        <f>IF(A26&lt;&gt;"",""&amp;DATA_KO!B17,"")</f>
        <v/>
      </c>
      <c r="D26" s="264">
        <f>IF(A26&lt;&gt;"",""&amp;DATA_KO!C17,"")</f>
        <v/>
      </c>
      <c r="E26" s="272">
        <f>IF(A26&lt;&gt;"",DATA_KO!G17,"")</f>
        <v/>
      </c>
      <c r="F26" s="271">
        <f>IF(A26&lt;&gt;"",""&amp;DATA_KO!H17,"")</f>
        <v/>
      </c>
      <c r="G26" s="271">
        <f>IF(A26&lt;&gt;"",""&amp;DATA_KO!E17,"")</f>
        <v/>
      </c>
      <c r="H26" s="265">
        <f>IF(A26&lt;&gt;"","➔ Trace Lineage","")</f>
        <v/>
      </c>
    </row>
    <row r="27" ht="15.75" customHeight="1" s="132">
      <c r="A27" s="271">
        <f>IF(DATA_KO!A18&lt;&gt;"",""&amp;DATA_KO!A18,"")</f>
        <v/>
      </c>
      <c r="B27" s="271">
        <f>IF(A27&lt;&gt;"","KO","")</f>
        <v/>
      </c>
      <c r="C27" s="264">
        <f>IF(A27&lt;&gt;"",""&amp;DATA_KO!B18,"")</f>
        <v/>
      </c>
      <c r="D27" s="264">
        <f>IF(A27&lt;&gt;"",""&amp;DATA_KO!C18,"")</f>
        <v/>
      </c>
      <c r="E27" s="272">
        <f>IF(A27&lt;&gt;"",DATA_KO!G18,"")</f>
        <v/>
      </c>
      <c r="F27" s="271">
        <f>IF(A27&lt;&gt;"",""&amp;DATA_KO!H18,"")</f>
        <v/>
      </c>
      <c r="G27" s="271">
        <f>IF(A27&lt;&gt;"",""&amp;DATA_KO!E18,"")</f>
        <v/>
      </c>
      <c r="H27" s="265">
        <f>IF(A27&lt;&gt;"","➔ Trace Lineage","")</f>
        <v/>
      </c>
    </row>
    <row r="28" ht="15.75" customHeight="1" s="132">
      <c r="A28" s="271">
        <f>IF(DATA_KO!A19&lt;&gt;"",""&amp;DATA_KO!A19,"")</f>
        <v/>
      </c>
      <c r="B28" s="271">
        <f>IF(A28&lt;&gt;"","KO","")</f>
        <v/>
      </c>
      <c r="C28" s="264">
        <f>IF(A28&lt;&gt;"",""&amp;DATA_KO!B19,"")</f>
        <v/>
      </c>
      <c r="D28" s="264">
        <f>IF(A28&lt;&gt;"",""&amp;DATA_KO!C19,"")</f>
        <v/>
      </c>
      <c r="E28" s="272">
        <f>IF(A28&lt;&gt;"",DATA_KO!G19,"")</f>
        <v/>
      </c>
      <c r="F28" s="271">
        <f>IF(A28&lt;&gt;"",""&amp;DATA_KO!H19,"")</f>
        <v/>
      </c>
      <c r="G28" s="271">
        <f>IF(A28&lt;&gt;"",""&amp;DATA_KO!E19,"")</f>
        <v/>
      </c>
      <c r="H28" s="265">
        <f>IF(A28&lt;&gt;"","➔ Trace Lineage","")</f>
        <v/>
      </c>
    </row>
    <row r="29" ht="15.75" customHeight="1" s="132">
      <c r="A29" s="271">
        <f>IF(DATA_KO!A20&lt;&gt;"",""&amp;DATA_KO!A20,"")</f>
        <v/>
      </c>
      <c r="B29" s="271">
        <f>IF(A29&lt;&gt;"","KO","")</f>
        <v/>
      </c>
      <c r="C29" s="264">
        <f>IF(A29&lt;&gt;"",""&amp;DATA_KO!B20,"")</f>
        <v/>
      </c>
      <c r="D29" s="264">
        <f>IF(A29&lt;&gt;"",""&amp;DATA_KO!C20,"")</f>
        <v/>
      </c>
      <c r="E29" s="272">
        <f>IF(A29&lt;&gt;"",DATA_KO!G20,"")</f>
        <v/>
      </c>
      <c r="F29" s="271">
        <f>IF(A29&lt;&gt;"",""&amp;DATA_KO!H20,"")</f>
        <v/>
      </c>
      <c r="G29" s="271">
        <f>IF(A29&lt;&gt;"",""&amp;DATA_KO!E20,"")</f>
        <v/>
      </c>
      <c r="H29" s="265">
        <f>IF(A29&lt;&gt;"","➔ Trace Lineage","")</f>
        <v/>
      </c>
    </row>
    <row r="30" ht="15.75" customHeight="1" s="132">
      <c r="A30" s="271">
        <f>IF(DATA_KO!A21&lt;&gt;"",""&amp;DATA_KO!A21,"")</f>
        <v/>
      </c>
      <c r="B30" s="271">
        <f>IF(A30&lt;&gt;"","KO","")</f>
        <v/>
      </c>
      <c r="C30" s="264">
        <f>IF(A30&lt;&gt;"",""&amp;DATA_KO!B21,"")</f>
        <v/>
      </c>
      <c r="D30" s="264">
        <f>IF(A30&lt;&gt;"",""&amp;DATA_KO!C21,"")</f>
        <v/>
      </c>
      <c r="E30" s="272">
        <f>IF(A30&lt;&gt;"",DATA_KO!G21,"")</f>
        <v/>
      </c>
      <c r="F30" s="271">
        <f>IF(A30&lt;&gt;"",""&amp;DATA_KO!H21,"")</f>
        <v/>
      </c>
      <c r="G30" s="271">
        <f>IF(A30&lt;&gt;"",""&amp;DATA_KO!E21,"")</f>
        <v/>
      </c>
      <c r="H30" s="265">
        <f>IF(A30&lt;&gt;"","➔ Trace Lineage","")</f>
        <v/>
      </c>
    </row>
    <row r="31" ht="15.75" customHeight="1" s="132">
      <c r="A31" s="271">
        <f>IF(DATA_KO!A22&lt;&gt;"",""&amp;DATA_KO!A22,"")</f>
        <v/>
      </c>
      <c r="B31" s="271">
        <f>IF(A31&lt;&gt;"","KO","")</f>
        <v/>
      </c>
      <c r="C31" s="264">
        <f>IF(A31&lt;&gt;"",""&amp;DATA_KO!B22,"")</f>
        <v/>
      </c>
      <c r="D31" s="264">
        <f>IF(A31&lt;&gt;"",""&amp;DATA_KO!C22,"")</f>
        <v/>
      </c>
      <c r="E31" s="272">
        <f>IF(A31&lt;&gt;"",DATA_KO!G22,"")</f>
        <v/>
      </c>
      <c r="F31" s="271">
        <f>IF(A31&lt;&gt;"",""&amp;DATA_KO!H22,"")</f>
        <v/>
      </c>
      <c r="G31" s="271">
        <f>IF(A31&lt;&gt;"",""&amp;DATA_KO!E22,"")</f>
        <v/>
      </c>
      <c r="H31" s="265">
        <f>IF(A31&lt;&gt;"","➔ Trace Lineage","")</f>
        <v/>
      </c>
    </row>
    <row r="32" ht="15.75" customHeight="1" s="132">
      <c r="A32" s="271">
        <f>IF(DATA_KO!A23&lt;&gt;"",""&amp;DATA_KO!A23,"")</f>
        <v/>
      </c>
      <c r="B32" s="271">
        <f>IF(A32&lt;&gt;"","KO","")</f>
        <v/>
      </c>
      <c r="C32" s="264">
        <f>IF(A32&lt;&gt;"",""&amp;DATA_KO!B23,"")</f>
        <v/>
      </c>
      <c r="D32" s="264">
        <f>IF(A32&lt;&gt;"",""&amp;DATA_KO!C23,"")</f>
        <v/>
      </c>
      <c r="E32" s="272">
        <f>IF(A32&lt;&gt;"",DATA_KO!G23,"")</f>
        <v/>
      </c>
      <c r="F32" s="271">
        <f>IF(A32&lt;&gt;"",""&amp;DATA_KO!H23,"")</f>
        <v/>
      </c>
      <c r="G32" s="271">
        <f>IF(A32&lt;&gt;"",""&amp;DATA_KO!E23,"")</f>
        <v/>
      </c>
      <c r="H32" s="265">
        <f>IF(A32&lt;&gt;"","➔ Trace Lineage","")</f>
        <v/>
      </c>
    </row>
    <row r="33" ht="15.75" customHeight="1" s="132">
      <c r="A33" s="271">
        <f>IF(DATA_KO!A24&lt;&gt;"",""&amp;DATA_KO!A24,"")</f>
        <v/>
      </c>
      <c r="B33" s="271">
        <f>IF(A33&lt;&gt;"","KO","")</f>
        <v/>
      </c>
      <c r="C33" s="264">
        <f>IF(A33&lt;&gt;"",""&amp;DATA_KO!B24,"")</f>
        <v/>
      </c>
      <c r="D33" s="264">
        <f>IF(A33&lt;&gt;"",""&amp;DATA_KO!C24,"")</f>
        <v/>
      </c>
      <c r="E33" s="272">
        <f>IF(A33&lt;&gt;"",DATA_KO!G24,"")</f>
        <v/>
      </c>
      <c r="F33" s="271">
        <f>IF(A33&lt;&gt;"",""&amp;DATA_KO!H24,"")</f>
        <v/>
      </c>
      <c r="G33" s="271">
        <f>IF(A33&lt;&gt;"",""&amp;DATA_KO!E24,"")</f>
        <v/>
      </c>
      <c r="H33" s="265">
        <f>IF(A33&lt;&gt;"","➔ Trace Lineage","")</f>
        <v/>
      </c>
    </row>
    <row r="34" ht="15.75" customHeight="1" s="132">
      <c r="A34" s="271">
        <f>IF(DATA_KO!A25&lt;&gt;"",""&amp;DATA_KO!A25,"")</f>
        <v/>
      </c>
      <c r="B34" s="271">
        <f>IF(A34&lt;&gt;"","KO","")</f>
        <v/>
      </c>
      <c r="C34" s="264">
        <f>IF(A34&lt;&gt;"",""&amp;DATA_KO!B25,"")</f>
        <v/>
      </c>
      <c r="D34" s="264">
        <f>IF(A34&lt;&gt;"",""&amp;DATA_KO!C25,"")</f>
        <v/>
      </c>
      <c r="E34" s="272">
        <f>IF(A34&lt;&gt;"",DATA_KO!G25,"")</f>
        <v/>
      </c>
      <c r="F34" s="271">
        <f>IF(A34&lt;&gt;"",""&amp;DATA_KO!H25,"")</f>
        <v/>
      </c>
      <c r="G34" s="271">
        <f>IF(A34&lt;&gt;"",""&amp;DATA_KO!E25,"")</f>
        <v/>
      </c>
      <c r="H34" s="265">
        <f>IF(A34&lt;&gt;"","➔ Trace Lineage","")</f>
        <v/>
      </c>
    </row>
    <row r="35" ht="15.75" customHeight="1" s="132">
      <c r="A35" s="271">
        <f>IF(DATA_KO!A26&lt;&gt;"",""&amp;DATA_KO!A26,"")</f>
        <v/>
      </c>
      <c r="B35" s="271">
        <f>IF(A35&lt;&gt;"","KO","")</f>
        <v/>
      </c>
      <c r="C35" s="264">
        <f>IF(A35&lt;&gt;"",""&amp;DATA_KO!B26,"")</f>
        <v/>
      </c>
      <c r="D35" s="264">
        <f>IF(A35&lt;&gt;"",""&amp;DATA_KO!C26,"")</f>
        <v/>
      </c>
      <c r="E35" s="272">
        <f>IF(A35&lt;&gt;"",DATA_KO!G26,"")</f>
        <v/>
      </c>
      <c r="F35" s="271">
        <f>IF(A35&lt;&gt;"",""&amp;DATA_KO!H26,"")</f>
        <v/>
      </c>
      <c r="G35" s="271">
        <f>IF(A35&lt;&gt;"",""&amp;DATA_KO!E26,"")</f>
        <v/>
      </c>
      <c r="H35" s="265">
        <f>IF(A35&lt;&gt;"","➔ Trace Lineage","")</f>
        <v/>
      </c>
    </row>
    <row r="36" ht="15.75" customHeight="1" s="132">
      <c r="A36" s="271">
        <f>IF(DATA_KO!A27&lt;&gt;"",""&amp;DATA_KO!A27,"")</f>
        <v/>
      </c>
      <c r="B36" s="271">
        <f>IF(A36&lt;&gt;"","KO","")</f>
        <v/>
      </c>
      <c r="C36" s="264">
        <f>IF(A36&lt;&gt;"",""&amp;DATA_KO!B27,"")</f>
        <v/>
      </c>
      <c r="D36" s="264">
        <f>IF(A36&lt;&gt;"",""&amp;DATA_KO!C27,"")</f>
        <v/>
      </c>
      <c r="E36" s="272">
        <f>IF(A36&lt;&gt;"",DATA_KO!G27,"")</f>
        <v/>
      </c>
      <c r="F36" s="271">
        <f>IF(A36&lt;&gt;"",""&amp;DATA_KO!H27,"")</f>
        <v/>
      </c>
      <c r="G36" s="271">
        <f>IF(A36&lt;&gt;"",""&amp;DATA_KO!E27,"")</f>
        <v/>
      </c>
      <c r="H36" s="265">
        <f>IF(A36&lt;&gt;"","➔ Trace Lineage","")</f>
        <v/>
      </c>
    </row>
    <row r="37" ht="15.75" customHeight="1" s="132">
      <c r="A37" s="271">
        <f>IF(DATA_KO!A28&lt;&gt;"",""&amp;DATA_KO!A28,"")</f>
        <v/>
      </c>
      <c r="B37" s="271">
        <f>IF(A37&lt;&gt;"","KO","")</f>
        <v/>
      </c>
      <c r="C37" s="264">
        <f>IF(A37&lt;&gt;"",""&amp;DATA_KO!B28,"")</f>
        <v/>
      </c>
      <c r="D37" s="264">
        <f>IF(A37&lt;&gt;"",""&amp;DATA_KO!C28,"")</f>
        <v/>
      </c>
      <c r="E37" s="272">
        <f>IF(A37&lt;&gt;"",DATA_KO!G28,"")</f>
        <v/>
      </c>
      <c r="F37" s="271">
        <f>IF(A37&lt;&gt;"",""&amp;DATA_KO!H28,"")</f>
        <v/>
      </c>
      <c r="G37" s="271">
        <f>IF(A37&lt;&gt;"",""&amp;DATA_KO!E28,"")</f>
        <v/>
      </c>
      <c r="H37" s="265">
        <f>IF(A37&lt;&gt;"","➔ Trace Lineage","")</f>
        <v/>
      </c>
    </row>
    <row r="38" ht="15.75" customHeight="1" s="132">
      <c r="A38" s="271">
        <f>IF(DATA_KO!A29&lt;&gt;"",""&amp;DATA_KO!A29,"")</f>
        <v/>
      </c>
      <c r="B38" s="271">
        <f>IF(A38&lt;&gt;"","KO","")</f>
        <v/>
      </c>
      <c r="C38" s="264">
        <f>IF(A38&lt;&gt;"",""&amp;DATA_KO!B29,"")</f>
        <v/>
      </c>
      <c r="D38" s="264">
        <f>IF(A38&lt;&gt;"",""&amp;DATA_KO!C29,"")</f>
        <v/>
      </c>
      <c r="E38" s="272">
        <f>IF(A38&lt;&gt;"",DATA_KO!G29,"")</f>
        <v/>
      </c>
      <c r="F38" s="271">
        <f>IF(A38&lt;&gt;"",""&amp;DATA_KO!H29,"")</f>
        <v/>
      </c>
      <c r="G38" s="271">
        <f>IF(A38&lt;&gt;"",""&amp;DATA_KO!E29,"")</f>
        <v/>
      </c>
      <c r="H38" s="265">
        <f>IF(A38&lt;&gt;"","➔ Trace Lineage","")</f>
        <v/>
      </c>
    </row>
    <row r="39" ht="15.75" customHeight="1" s="132">
      <c r="A39" s="271">
        <f>IF(DATA_KO!A30&lt;&gt;"",""&amp;DATA_KO!A30,"")</f>
        <v/>
      </c>
      <c r="B39" s="271">
        <f>IF(A39&lt;&gt;"","KO","")</f>
        <v/>
      </c>
      <c r="C39" s="264">
        <f>IF(A39&lt;&gt;"",""&amp;DATA_KO!B30,"")</f>
        <v/>
      </c>
      <c r="D39" s="264">
        <f>IF(A39&lt;&gt;"",""&amp;DATA_KO!C30,"")</f>
        <v/>
      </c>
      <c r="E39" s="272">
        <f>IF(A39&lt;&gt;"",DATA_KO!G30,"")</f>
        <v/>
      </c>
      <c r="F39" s="271">
        <f>IF(A39&lt;&gt;"",""&amp;DATA_KO!H30,"")</f>
        <v/>
      </c>
      <c r="G39" s="271">
        <f>IF(A39&lt;&gt;"",""&amp;DATA_KO!E30,"")</f>
        <v/>
      </c>
      <c r="H39" s="265">
        <f>IF(A39&lt;&gt;"","➔ Trace Lineage","")</f>
        <v/>
      </c>
    </row>
    <row r="40" ht="15.75" customHeight="1" s="132">
      <c r="A40" s="271">
        <f>IF(DATA_KO!A31&lt;&gt;"",""&amp;DATA_KO!A31,"")</f>
        <v/>
      </c>
      <c r="B40" s="271">
        <f>IF(A40&lt;&gt;"","KO","")</f>
        <v/>
      </c>
      <c r="C40" s="264">
        <f>IF(A40&lt;&gt;"",""&amp;DATA_KO!B31,"")</f>
        <v/>
      </c>
      <c r="D40" s="264">
        <f>IF(A40&lt;&gt;"",""&amp;DATA_KO!C31,"")</f>
        <v/>
      </c>
      <c r="E40" s="272">
        <f>IF(A40&lt;&gt;"",DATA_KO!G31,"")</f>
        <v/>
      </c>
      <c r="F40" s="271">
        <f>IF(A40&lt;&gt;"",""&amp;DATA_KO!H31,"")</f>
        <v/>
      </c>
      <c r="G40" s="271">
        <f>IF(A40&lt;&gt;"",""&amp;DATA_KO!E31,"")</f>
        <v/>
      </c>
      <c r="H40" s="265">
        <f>IF(A40&lt;&gt;"","➔ Trace Lineage","")</f>
        <v/>
      </c>
    </row>
    <row r="41" ht="15.75" customHeight="1" s="132">
      <c r="A41" s="271">
        <f>IF(DATA_KO!A32&lt;&gt;"",""&amp;DATA_KO!A32,"")</f>
        <v/>
      </c>
      <c r="B41" s="271">
        <f>IF(A41&lt;&gt;"","KO","")</f>
        <v/>
      </c>
      <c r="C41" s="264">
        <f>IF(A41&lt;&gt;"",""&amp;DATA_KO!B32,"")</f>
        <v/>
      </c>
      <c r="D41" s="264">
        <f>IF(A41&lt;&gt;"",""&amp;DATA_KO!C32,"")</f>
        <v/>
      </c>
      <c r="E41" s="272">
        <f>IF(A41&lt;&gt;"",DATA_KO!G32,"")</f>
        <v/>
      </c>
      <c r="F41" s="271">
        <f>IF(A41&lt;&gt;"",""&amp;DATA_KO!H32,"")</f>
        <v/>
      </c>
      <c r="G41" s="271">
        <f>IF(A41&lt;&gt;"",""&amp;DATA_KO!E32,"")</f>
        <v/>
      </c>
      <c r="H41" s="265">
        <f>IF(A41&lt;&gt;"","➔ Trace Lineage","")</f>
        <v/>
      </c>
    </row>
    <row r="42" ht="15.75" customHeight="1" s="132">
      <c r="A42" s="271">
        <f>IF(DATA_KO!A33&lt;&gt;"",""&amp;DATA_KO!A33,"")</f>
        <v/>
      </c>
      <c r="B42" s="271">
        <f>IF(A42&lt;&gt;"","KO","")</f>
        <v/>
      </c>
      <c r="C42" s="264">
        <f>IF(A42&lt;&gt;"",""&amp;DATA_KO!B33,"")</f>
        <v/>
      </c>
      <c r="D42" s="264">
        <f>IF(A42&lt;&gt;"",""&amp;DATA_KO!C33,"")</f>
        <v/>
      </c>
      <c r="E42" s="272">
        <f>IF(A42&lt;&gt;"",DATA_KO!G33,"")</f>
        <v/>
      </c>
      <c r="F42" s="271">
        <f>IF(A42&lt;&gt;"",""&amp;DATA_KO!H33,"")</f>
        <v/>
      </c>
      <c r="G42" s="271">
        <f>IF(A42&lt;&gt;"",""&amp;DATA_KO!E33,"")</f>
        <v/>
      </c>
      <c r="H42" s="265">
        <f>IF(A42&lt;&gt;"","➔ Trace Lineage","")</f>
        <v/>
      </c>
    </row>
    <row r="43" ht="15.75" customHeight="1" s="132">
      <c r="A43" s="271">
        <f>IF(DATA_KO!A34&lt;&gt;"",""&amp;DATA_KO!A34,"")</f>
        <v/>
      </c>
      <c r="B43" s="271">
        <f>IF(A43&lt;&gt;"","KO","")</f>
        <v/>
      </c>
      <c r="C43" s="264">
        <f>IF(A43&lt;&gt;"",""&amp;DATA_KO!B34,"")</f>
        <v/>
      </c>
      <c r="D43" s="264">
        <f>IF(A43&lt;&gt;"",""&amp;DATA_KO!C34,"")</f>
        <v/>
      </c>
      <c r="E43" s="272">
        <f>IF(A43&lt;&gt;"",DATA_KO!G34,"")</f>
        <v/>
      </c>
      <c r="F43" s="271">
        <f>IF(A43&lt;&gt;"",""&amp;DATA_KO!H34,"")</f>
        <v/>
      </c>
      <c r="G43" s="271">
        <f>IF(A43&lt;&gt;"",""&amp;DATA_KO!E34,"")</f>
        <v/>
      </c>
      <c r="H43" s="265">
        <f>IF(A43&lt;&gt;"","➔ Trace Lineage","")</f>
        <v/>
      </c>
    </row>
    <row r="44" ht="15.75" customHeight="1" s="132">
      <c r="A44" s="271">
        <f>IF(DATA_KO!A35&lt;&gt;"",""&amp;DATA_KO!A35,"")</f>
        <v/>
      </c>
      <c r="B44" s="271">
        <f>IF(A44&lt;&gt;"","KO","")</f>
        <v/>
      </c>
      <c r="C44" s="264">
        <f>IF(A44&lt;&gt;"",""&amp;DATA_KO!B35,"")</f>
        <v/>
      </c>
      <c r="D44" s="264">
        <f>IF(A44&lt;&gt;"",""&amp;DATA_KO!C35,"")</f>
        <v/>
      </c>
      <c r="E44" s="272">
        <f>IF(A44&lt;&gt;"",DATA_KO!G35,"")</f>
        <v/>
      </c>
      <c r="F44" s="271">
        <f>IF(A44&lt;&gt;"",""&amp;DATA_KO!H35,"")</f>
        <v/>
      </c>
      <c r="G44" s="271">
        <f>IF(A44&lt;&gt;"",""&amp;DATA_KO!E35,"")</f>
        <v/>
      </c>
      <c r="H44" s="265">
        <f>IF(A44&lt;&gt;"","➔ Trace Lineage","")</f>
        <v/>
      </c>
    </row>
    <row r="45" ht="15.75" customHeight="1" s="132">
      <c r="A45" s="271">
        <f>IF(DATA_KO!A36&lt;&gt;"",""&amp;DATA_KO!A36,"")</f>
        <v/>
      </c>
      <c r="B45" s="271">
        <f>IF(A45&lt;&gt;"","KO","")</f>
        <v/>
      </c>
      <c r="C45" s="264">
        <f>IF(A45&lt;&gt;"",""&amp;DATA_KO!B36,"")</f>
        <v/>
      </c>
      <c r="D45" s="264">
        <f>IF(A45&lt;&gt;"",""&amp;DATA_KO!C36,"")</f>
        <v/>
      </c>
      <c r="E45" s="272">
        <f>IF(A45&lt;&gt;"",DATA_KO!G36,"")</f>
        <v/>
      </c>
      <c r="F45" s="271">
        <f>IF(A45&lt;&gt;"",""&amp;DATA_KO!H36,"")</f>
        <v/>
      </c>
      <c r="G45" s="271">
        <f>IF(A45&lt;&gt;"",""&amp;DATA_KO!E36,"")</f>
        <v/>
      </c>
      <c r="H45" s="265">
        <f>IF(A45&lt;&gt;"","➔ Trace Lineage","")</f>
        <v/>
      </c>
    </row>
    <row r="46" ht="15.75" customHeight="1" s="132">
      <c r="A46" s="271">
        <f>IF(DATA_KO!A37&lt;&gt;"",""&amp;DATA_KO!A37,"")</f>
        <v/>
      </c>
      <c r="B46" s="271">
        <f>IF(A46&lt;&gt;"","KO","")</f>
        <v/>
      </c>
      <c r="C46" s="264">
        <f>IF(A46&lt;&gt;"",""&amp;DATA_KO!B37,"")</f>
        <v/>
      </c>
      <c r="D46" s="264">
        <f>IF(A46&lt;&gt;"",""&amp;DATA_KO!C37,"")</f>
        <v/>
      </c>
      <c r="E46" s="272">
        <f>IF(A46&lt;&gt;"",DATA_KO!G37,"")</f>
        <v/>
      </c>
      <c r="F46" s="271">
        <f>IF(A46&lt;&gt;"",""&amp;DATA_KO!H37,"")</f>
        <v/>
      </c>
      <c r="G46" s="271">
        <f>IF(A46&lt;&gt;"",""&amp;DATA_KO!E37,"")</f>
        <v/>
      </c>
      <c r="H46" s="265">
        <f>IF(A46&lt;&gt;"","➔ Trace Lineage","")</f>
        <v/>
      </c>
    </row>
    <row r="47" ht="15.75" customHeight="1" s="132">
      <c r="A47" s="271">
        <f>IF(DATA_KO!A38&lt;&gt;"",""&amp;DATA_KO!A38,"")</f>
        <v/>
      </c>
      <c r="B47" s="271">
        <f>IF(A47&lt;&gt;"","KO","")</f>
        <v/>
      </c>
      <c r="C47" s="264">
        <f>IF(A47&lt;&gt;"",""&amp;DATA_KO!B38,"")</f>
        <v/>
      </c>
      <c r="D47" s="264">
        <f>IF(A47&lt;&gt;"",""&amp;DATA_KO!C38,"")</f>
        <v/>
      </c>
      <c r="E47" s="272">
        <f>IF(A47&lt;&gt;"",DATA_KO!G38,"")</f>
        <v/>
      </c>
      <c r="F47" s="271">
        <f>IF(A47&lt;&gt;"",""&amp;DATA_KO!H38,"")</f>
        <v/>
      </c>
      <c r="G47" s="271">
        <f>IF(A47&lt;&gt;"",""&amp;DATA_KO!E38,"")</f>
        <v/>
      </c>
      <c r="H47" s="265">
        <f>IF(A47&lt;&gt;"","➔ Trace Lineage","")</f>
        <v/>
      </c>
    </row>
    <row r="48" ht="15.75" customHeight="1" s="132">
      <c r="A48" s="271">
        <f>IF(DATA_KO!A39&lt;&gt;"",""&amp;DATA_KO!A39,"")</f>
        <v/>
      </c>
      <c r="B48" s="271">
        <f>IF(A48&lt;&gt;"","KO","")</f>
        <v/>
      </c>
      <c r="C48" s="264">
        <f>IF(A48&lt;&gt;"",""&amp;DATA_KO!B39,"")</f>
        <v/>
      </c>
      <c r="D48" s="264">
        <f>IF(A48&lt;&gt;"",""&amp;DATA_KO!C39,"")</f>
        <v/>
      </c>
      <c r="E48" s="272">
        <f>IF(A48&lt;&gt;"",DATA_KO!G39,"")</f>
        <v/>
      </c>
      <c r="F48" s="271">
        <f>IF(A48&lt;&gt;"",""&amp;DATA_KO!H39,"")</f>
        <v/>
      </c>
      <c r="G48" s="271">
        <f>IF(A48&lt;&gt;"",""&amp;DATA_KO!E39,"")</f>
        <v/>
      </c>
      <c r="H48" s="265">
        <f>IF(A48&lt;&gt;"","➔ Trace Lineage","")</f>
        <v/>
      </c>
    </row>
    <row r="49" ht="15.75" customHeight="1" s="132">
      <c r="A49" s="271">
        <f>IF(DATA_KO!A40&lt;&gt;"",""&amp;DATA_KO!A40,"")</f>
        <v/>
      </c>
      <c r="B49" s="271">
        <f>IF(A49&lt;&gt;"","KO","")</f>
        <v/>
      </c>
      <c r="C49" s="264">
        <f>IF(A49&lt;&gt;"",""&amp;DATA_KO!B40,"")</f>
        <v/>
      </c>
      <c r="D49" s="264">
        <f>IF(A49&lt;&gt;"",""&amp;DATA_KO!C40,"")</f>
        <v/>
      </c>
      <c r="E49" s="272">
        <f>IF(A49&lt;&gt;"",DATA_KO!G40,"")</f>
        <v/>
      </c>
      <c r="F49" s="271">
        <f>IF(A49&lt;&gt;"",""&amp;DATA_KO!H40,"")</f>
        <v/>
      </c>
      <c r="G49" s="271">
        <f>IF(A49&lt;&gt;"",""&amp;DATA_KO!E40,"")</f>
        <v/>
      </c>
      <c r="H49" s="265">
        <f>IF(A49&lt;&gt;"","➔ Trace Lineage","")</f>
        <v/>
      </c>
    </row>
    <row r="50" ht="15.75" customHeight="1" s="132">
      <c r="A50" s="271">
        <f>IF(DATA_KO!A41&lt;&gt;"",""&amp;DATA_KO!A41,"")</f>
        <v/>
      </c>
      <c r="B50" s="271">
        <f>IF(A50&lt;&gt;"","KO","")</f>
        <v/>
      </c>
      <c r="C50" s="264">
        <f>IF(A50&lt;&gt;"",""&amp;DATA_KO!B41,"")</f>
        <v/>
      </c>
      <c r="D50" s="264">
        <f>IF(A50&lt;&gt;"",""&amp;DATA_KO!C41,"")</f>
        <v/>
      </c>
      <c r="E50" s="272">
        <f>IF(A50&lt;&gt;"",DATA_KO!G41,"")</f>
        <v/>
      </c>
      <c r="F50" s="271">
        <f>IF(A50&lt;&gt;"",""&amp;DATA_KO!H41,"")</f>
        <v/>
      </c>
      <c r="G50" s="271">
        <f>IF(A50&lt;&gt;"",""&amp;DATA_KO!E41,"")</f>
        <v/>
      </c>
      <c r="H50" s="265">
        <f>IF(A50&lt;&gt;"","➔ Trace Lineage","")</f>
        <v/>
      </c>
    </row>
    <row r="51" ht="15.75" customHeight="1" s="132">
      <c r="A51" s="271">
        <f>IF(DATA_KO!A42&lt;&gt;"",""&amp;DATA_KO!A42,"")</f>
        <v/>
      </c>
      <c r="B51" s="271">
        <f>IF(A51&lt;&gt;"","KO","")</f>
        <v/>
      </c>
      <c r="C51" s="264">
        <f>IF(A51&lt;&gt;"",""&amp;DATA_KO!B42,"")</f>
        <v/>
      </c>
      <c r="D51" s="264">
        <f>IF(A51&lt;&gt;"",""&amp;DATA_KO!C42,"")</f>
        <v/>
      </c>
      <c r="E51" s="272">
        <f>IF(A51&lt;&gt;"",DATA_KO!G42,"")</f>
        <v/>
      </c>
      <c r="F51" s="271">
        <f>IF(A51&lt;&gt;"",""&amp;DATA_KO!H42,"")</f>
        <v/>
      </c>
      <c r="G51" s="271">
        <f>IF(A51&lt;&gt;"",""&amp;DATA_KO!E42,"")</f>
        <v/>
      </c>
      <c r="H51" s="265">
        <f>IF(A51&lt;&gt;"","➔ Trace Lineage","")</f>
        <v/>
      </c>
    </row>
    <row r="52" ht="15.75" customHeight="1" s="132">
      <c r="A52" s="271">
        <f>IF(DATA_KO!A43&lt;&gt;"",""&amp;DATA_KO!A43,"")</f>
        <v/>
      </c>
      <c r="B52" s="271">
        <f>IF(A52&lt;&gt;"","KO","")</f>
        <v/>
      </c>
      <c r="C52" s="264">
        <f>IF(A52&lt;&gt;"",""&amp;DATA_KO!B43,"")</f>
        <v/>
      </c>
      <c r="D52" s="264">
        <f>IF(A52&lt;&gt;"",""&amp;DATA_KO!C43,"")</f>
        <v/>
      </c>
      <c r="E52" s="272">
        <f>IF(A52&lt;&gt;"",DATA_KO!G43,"")</f>
        <v/>
      </c>
      <c r="F52" s="271">
        <f>IF(A52&lt;&gt;"",""&amp;DATA_KO!H43,"")</f>
        <v/>
      </c>
      <c r="G52" s="271">
        <f>IF(A52&lt;&gt;"",""&amp;DATA_KO!E43,"")</f>
        <v/>
      </c>
      <c r="H52" s="265">
        <f>IF(A52&lt;&gt;"","➔ Trace Lineage","")</f>
        <v/>
      </c>
    </row>
    <row r="53" ht="15.75" customHeight="1" s="132">
      <c r="A53" s="271">
        <f>IF(DATA_KO!A44&lt;&gt;"",""&amp;DATA_KO!A44,"")</f>
        <v/>
      </c>
      <c r="B53" s="271">
        <f>IF(A53&lt;&gt;"","KO","")</f>
        <v/>
      </c>
      <c r="C53" s="264">
        <f>IF(A53&lt;&gt;"",""&amp;DATA_KO!B44,"")</f>
        <v/>
      </c>
      <c r="D53" s="264">
        <f>IF(A53&lt;&gt;"",""&amp;DATA_KO!C44,"")</f>
        <v/>
      </c>
      <c r="E53" s="272">
        <f>IF(A53&lt;&gt;"",DATA_KO!G44,"")</f>
        <v/>
      </c>
      <c r="F53" s="271">
        <f>IF(A53&lt;&gt;"",""&amp;DATA_KO!H44,"")</f>
        <v/>
      </c>
      <c r="G53" s="271">
        <f>IF(A53&lt;&gt;"",""&amp;DATA_KO!E44,"")</f>
        <v/>
      </c>
      <c r="H53" s="265">
        <f>IF(A53&lt;&gt;"","➔ Trace Lineage","")</f>
        <v/>
      </c>
    </row>
    <row r="54" ht="15.75" customHeight="1" s="132">
      <c r="A54" s="271">
        <f>IF(DATA_KO!A45&lt;&gt;"",""&amp;DATA_KO!A45,"")</f>
        <v/>
      </c>
      <c r="B54" s="271">
        <f>IF(A54&lt;&gt;"","KO","")</f>
        <v/>
      </c>
      <c r="C54" s="264">
        <f>IF(A54&lt;&gt;"",""&amp;DATA_KO!B45,"")</f>
        <v/>
      </c>
      <c r="D54" s="264">
        <f>IF(A54&lt;&gt;"",""&amp;DATA_KO!C45,"")</f>
        <v/>
      </c>
      <c r="E54" s="272">
        <f>IF(A54&lt;&gt;"",DATA_KO!G45,"")</f>
        <v/>
      </c>
      <c r="F54" s="271">
        <f>IF(A54&lt;&gt;"",""&amp;DATA_KO!H45,"")</f>
        <v/>
      </c>
      <c r="G54" s="271">
        <f>IF(A54&lt;&gt;"",""&amp;DATA_KO!E45,"")</f>
        <v/>
      </c>
      <c r="H54" s="265">
        <f>IF(A54&lt;&gt;"","➔ Trace Lineage","")</f>
        <v/>
      </c>
    </row>
    <row r="55" ht="15.75" customHeight="1" s="132">
      <c r="A55" s="271">
        <f>IF(DATA_KO!A46&lt;&gt;"",""&amp;DATA_KO!A46,"")</f>
        <v/>
      </c>
      <c r="B55" s="271">
        <f>IF(A55&lt;&gt;"","KO","")</f>
        <v/>
      </c>
      <c r="C55" s="264">
        <f>IF(A55&lt;&gt;"",""&amp;DATA_KO!B46,"")</f>
        <v/>
      </c>
      <c r="D55" s="264">
        <f>IF(A55&lt;&gt;"",""&amp;DATA_KO!C46,"")</f>
        <v/>
      </c>
      <c r="E55" s="272">
        <f>IF(A55&lt;&gt;"",DATA_KO!G46,"")</f>
        <v/>
      </c>
      <c r="F55" s="271">
        <f>IF(A55&lt;&gt;"",""&amp;DATA_KO!H46,"")</f>
        <v/>
      </c>
      <c r="G55" s="271">
        <f>IF(A55&lt;&gt;"",""&amp;DATA_KO!E46,"")</f>
        <v/>
      </c>
      <c r="H55" s="265">
        <f>IF(A55&lt;&gt;"","➔ Trace Lineage","")</f>
        <v/>
      </c>
    </row>
    <row r="56" ht="15.75" customHeight="1" s="132">
      <c r="A56" s="271">
        <f>IF(DATA_KO!A47&lt;&gt;"",""&amp;DATA_KO!A47,"")</f>
        <v/>
      </c>
      <c r="B56" s="271">
        <f>IF(A56&lt;&gt;"","KO","")</f>
        <v/>
      </c>
      <c r="C56" s="264">
        <f>IF(A56&lt;&gt;"",""&amp;DATA_KO!B47,"")</f>
        <v/>
      </c>
      <c r="D56" s="264">
        <f>IF(A56&lt;&gt;"",""&amp;DATA_KO!C47,"")</f>
        <v/>
      </c>
      <c r="E56" s="272">
        <f>IF(A56&lt;&gt;"",DATA_KO!G47,"")</f>
        <v/>
      </c>
      <c r="F56" s="271">
        <f>IF(A56&lt;&gt;"",""&amp;DATA_KO!H47,"")</f>
        <v/>
      </c>
      <c r="G56" s="271">
        <f>IF(A56&lt;&gt;"",""&amp;DATA_KO!E47,"")</f>
        <v/>
      </c>
      <c r="H56" s="265">
        <f>IF(A56&lt;&gt;"","➔ Trace Lineage","")</f>
        <v/>
      </c>
    </row>
    <row r="57" ht="15.75" customHeight="1" s="132">
      <c r="A57" s="271">
        <f>IF(DATA_KO!A48&lt;&gt;"",""&amp;DATA_KO!A48,"")</f>
        <v/>
      </c>
      <c r="B57" s="271">
        <f>IF(A57&lt;&gt;"","KO","")</f>
        <v/>
      </c>
      <c r="C57" s="264">
        <f>IF(A57&lt;&gt;"",""&amp;DATA_KO!B48,"")</f>
        <v/>
      </c>
      <c r="D57" s="264">
        <f>IF(A57&lt;&gt;"",""&amp;DATA_KO!C48,"")</f>
        <v/>
      </c>
      <c r="E57" s="272">
        <f>IF(A57&lt;&gt;"",DATA_KO!G48,"")</f>
        <v/>
      </c>
      <c r="F57" s="271">
        <f>IF(A57&lt;&gt;"",""&amp;DATA_KO!H48,"")</f>
        <v/>
      </c>
      <c r="G57" s="271">
        <f>IF(A57&lt;&gt;"",""&amp;DATA_KO!E48,"")</f>
        <v/>
      </c>
      <c r="H57" s="265">
        <f>IF(A57&lt;&gt;"","➔ Trace Lineage","")</f>
        <v/>
      </c>
    </row>
    <row r="58" ht="15.75" customHeight="1" s="132">
      <c r="A58" s="271">
        <f>IF(DATA_KO!A49&lt;&gt;"",""&amp;DATA_KO!A49,"")</f>
        <v/>
      </c>
      <c r="B58" s="271">
        <f>IF(A58&lt;&gt;"","KO","")</f>
        <v/>
      </c>
      <c r="C58" s="264">
        <f>IF(A58&lt;&gt;"",""&amp;DATA_KO!B49,"")</f>
        <v/>
      </c>
      <c r="D58" s="264">
        <f>IF(A58&lt;&gt;"",""&amp;DATA_KO!C49,"")</f>
        <v/>
      </c>
      <c r="E58" s="272">
        <f>IF(A58&lt;&gt;"",DATA_KO!G49,"")</f>
        <v/>
      </c>
      <c r="F58" s="271">
        <f>IF(A58&lt;&gt;"",""&amp;DATA_KO!H49,"")</f>
        <v/>
      </c>
      <c r="G58" s="271">
        <f>IF(A58&lt;&gt;"",""&amp;DATA_KO!E49,"")</f>
        <v/>
      </c>
      <c r="H58" s="265">
        <f>IF(A58&lt;&gt;"","➔ Trace Lineage","")</f>
        <v/>
      </c>
    </row>
    <row r="59" ht="15.75" customHeight="1" s="132">
      <c r="A59" s="271">
        <f>IF(DATA_KO!A50&lt;&gt;"",""&amp;DATA_KO!A50,"")</f>
        <v/>
      </c>
      <c r="B59" s="271">
        <f>IF(A59&lt;&gt;"","KO","")</f>
        <v/>
      </c>
      <c r="C59" s="264">
        <f>IF(A59&lt;&gt;"",""&amp;DATA_KO!B50,"")</f>
        <v/>
      </c>
      <c r="D59" s="264">
        <f>IF(A59&lt;&gt;"",""&amp;DATA_KO!C50,"")</f>
        <v/>
      </c>
      <c r="E59" s="272">
        <f>IF(A59&lt;&gt;"",DATA_KO!G50,"")</f>
        <v/>
      </c>
      <c r="F59" s="271">
        <f>IF(A59&lt;&gt;"",""&amp;DATA_KO!H50,"")</f>
        <v/>
      </c>
      <c r="G59" s="271">
        <f>IF(A59&lt;&gt;"",""&amp;DATA_KO!E50,"")</f>
        <v/>
      </c>
      <c r="H59" s="265">
        <f>IF(A59&lt;&gt;"","➔ Trace Lineage","")</f>
        <v/>
      </c>
    </row>
    <row r="60" ht="15.75" customHeight="1" s="132">
      <c r="A60" s="271">
        <f>IF(DATA_KO!A51&lt;&gt;"",""&amp;DATA_KO!A51,"")</f>
        <v/>
      </c>
      <c r="B60" s="271">
        <f>IF(A60&lt;&gt;"","KO","")</f>
        <v/>
      </c>
      <c r="C60" s="264">
        <f>IF(A60&lt;&gt;"",""&amp;DATA_KO!B51,"")</f>
        <v/>
      </c>
      <c r="D60" s="264">
        <f>IF(A60&lt;&gt;"",""&amp;DATA_KO!C51,"")</f>
        <v/>
      </c>
      <c r="E60" s="272">
        <f>IF(A60&lt;&gt;"",DATA_KO!G51,"")</f>
        <v/>
      </c>
      <c r="F60" s="271">
        <f>IF(A60&lt;&gt;"",""&amp;DATA_KO!H51,"")</f>
        <v/>
      </c>
      <c r="G60" s="271">
        <f>IF(A60&lt;&gt;"",""&amp;DATA_KO!E51,"")</f>
        <v/>
      </c>
      <c r="H60" s="265">
        <f>IF(A60&lt;&gt;"","➔ Trace Lineage","")</f>
        <v/>
      </c>
    </row>
    <row r="61" ht="15.75" customHeight="1" s="132">
      <c r="A61" s="271">
        <f>IF(DATA_KO!A52&lt;&gt;"",""&amp;DATA_KO!A52,"")</f>
        <v/>
      </c>
      <c r="B61" s="271">
        <f>IF(A61&lt;&gt;"","KO","")</f>
        <v/>
      </c>
      <c r="C61" s="264">
        <f>IF(A61&lt;&gt;"",""&amp;DATA_KO!B52,"")</f>
        <v/>
      </c>
      <c r="D61" s="264">
        <f>IF(A61&lt;&gt;"",""&amp;DATA_KO!C52,"")</f>
        <v/>
      </c>
      <c r="E61" s="272">
        <f>IF(A61&lt;&gt;"",DATA_KO!G52,"")</f>
        <v/>
      </c>
      <c r="F61" s="271">
        <f>IF(A61&lt;&gt;"",""&amp;DATA_KO!H52,"")</f>
        <v/>
      </c>
      <c r="G61" s="271">
        <f>IF(A61&lt;&gt;"",""&amp;DATA_KO!E52,"")</f>
        <v/>
      </c>
      <c r="H61" s="265">
        <f>IF(A61&lt;&gt;"","➔ Trace Lineage","")</f>
        <v/>
      </c>
    </row>
    <row r="62" ht="15.75" customHeight="1" s="132">
      <c r="A62" s="271">
        <f>IF(DATA_KO!A53&lt;&gt;"",""&amp;DATA_KO!A53,"")</f>
        <v/>
      </c>
      <c r="B62" s="271">
        <f>IF(A62&lt;&gt;"","KO","")</f>
        <v/>
      </c>
      <c r="C62" s="264">
        <f>IF(A62&lt;&gt;"",""&amp;DATA_KO!B53,"")</f>
        <v/>
      </c>
      <c r="D62" s="264">
        <f>IF(A62&lt;&gt;"",""&amp;DATA_KO!C53,"")</f>
        <v/>
      </c>
      <c r="E62" s="272">
        <f>IF(A62&lt;&gt;"",DATA_KO!G53,"")</f>
        <v/>
      </c>
      <c r="F62" s="271">
        <f>IF(A62&lt;&gt;"",""&amp;DATA_KO!H53,"")</f>
        <v/>
      </c>
      <c r="G62" s="271">
        <f>IF(A62&lt;&gt;"",""&amp;DATA_KO!E53,"")</f>
        <v/>
      </c>
      <c r="H62" s="265">
        <f>IF(A62&lt;&gt;"","➔ Trace Lineage","")</f>
        <v/>
      </c>
    </row>
    <row r="63" ht="15.75" customHeight="1" s="132">
      <c r="A63" s="271">
        <f>IF(DATA_KO!A54&lt;&gt;"",""&amp;DATA_KO!A54,"")</f>
        <v/>
      </c>
      <c r="B63" s="271">
        <f>IF(A63&lt;&gt;"","KO","")</f>
        <v/>
      </c>
      <c r="C63" s="264">
        <f>IF(A63&lt;&gt;"",""&amp;DATA_KO!B54,"")</f>
        <v/>
      </c>
      <c r="D63" s="264">
        <f>IF(A63&lt;&gt;"",""&amp;DATA_KO!C54,"")</f>
        <v/>
      </c>
      <c r="E63" s="272">
        <f>IF(A63&lt;&gt;"",DATA_KO!G54,"")</f>
        <v/>
      </c>
      <c r="F63" s="271">
        <f>IF(A63&lt;&gt;"",""&amp;DATA_KO!H54,"")</f>
        <v/>
      </c>
      <c r="G63" s="271">
        <f>IF(A63&lt;&gt;"",""&amp;DATA_KO!E54,"")</f>
        <v/>
      </c>
      <c r="H63" s="265">
        <f>IF(A63&lt;&gt;"","➔ Trace Lineage","")</f>
        <v/>
      </c>
    </row>
    <row r="64" ht="15.75" customHeight="1" s="132">
      <c r="A64" s="271">
        <f>IF(DATA_KO!A55&lt;&gt;"",""&amp;DATA_KO!A55,"")</f>
        <v/>
      </c>
      <c r="B64" s="271">
        <f>IF(A64&lt;&gt;"","KO","")</f>
        <v/>
      </c>
      <c r="C64" s="264">
        <f>IF(A64&lt;&gt;"",""&amp;DATA_KO!B55,"")</f>
        <v/>
      </c>
      <c r="D64" s="264">
        <f>IF(A64&lt;&gt;"",""&amp;DATA_KO!C55,"")</f>
        <v/>
      </c>
      <c r="E64" s="272">
        <f>IF(A64&lt;&gt;"",DATA_KO!G55,"")</f>
        <v/>
      </c>
      <c r="F64" s="271">
        <f>IF(A64&lt;&gt;"",""&amp;DATA_KO!H55,"")</f>
        <v/>
      </c>
      <c r="G64" s="271">
        <f>IF(A64&lt;&gt;"",""&amp;DATA_KO!E55,"")</f>
        <v/>
      </c>
      <c r="H64" s="265">
        <f>IF(A64&lt;&gt;"","➔ Trace Lineage","")</f>
        <v/>
      </c>
    </row>
    <row r="65" ht="15.75" customHeight="1" s="132">
      <c r="A65" s="271">
        <f>IF(DATA_KO!A56&lt;&gt;"",""&amp;DATA_KO!A56,"")</f>
        <v/>
      </c>
      <c r="B65" s="271">
        <f>IF(A65&lt;&gt;"","KO","")</f>
        <v/>
      </c>
      <c r="C65" s="264">
        <f>IF(A65&lt;&gt;"",""&amp;DATA_KO!B56,"")</f>
        <v/>
      </c>
      <c r="D65" s="264">
        <f>IF(A65&lt;&gt;"",""&amp;DATA_KO!C56,"")</f>
        <v/>
      </c>
      <c r="E65" s="272">
        <f>IF(A65&lt;&gt;"",DATA_KO!G56,"")</f>
        <v/>
      </c>
      <c r="F65" s="271">
        <f>IF(A65&lt;&gt;"",""&amp;DATA_KO!H56,"")</f>
        <v/>
      </c>
      <c r="G65" s="271">
        <f>IF(A65&lt;&gt;"",""&amp;DATA_KO!E56,"")</f>
        <v/>
      </c>
      <c r="H65" s="265">
        <f>IF(A65&lt;&gt;"","➔ Trace Lineage","")</f>
        <v/>
      </c>
    </row>
    <row r="66" ht="15.75" customHeight="1" s="132">
      <c r="A66" s="271">
        <f>IF(DATA_KO!A57&lt;&gt;"",""&amp;DATA_KO!A57,"")</f>
        <v/>
      </c>
      <c r="B66" s="271">
        <f>IF(A66&lt;&gt;"","KO","")</f>
        <v/>
      </c>
      <c r="C66" s="264">
        <f>IF(A66&lt;&gt;"",""&amp;DATA_KO!B57,"")</f>
        <v/>
      </c>
      <c r="D66" s="264">
        <f>IF(A66&lt;&gt;"",""&amp;DATA_KO!C57,"")</f>
        <v/>
      </c>
      <c r="E66" s="272">
        <f>IF(A66&lt;&gt;"",DATA_KO!G57,"")</f>
        <v/>
      </c>
      <c r="F66" s="271">
        <f>IF(A66&lt;&gt;"",""&amp;DATA_KO!H57,"")</f>
        <v/>
      </c>
      <c r="G66" s="271">
        <f>IF(A66&lt;&gt;"",""&amp;DATA_KO!E57,"")</f>
        <v/>
      </c>
      <c r="H66" s="265">
        <f>IF(A66&lt;&gt;"","➔ Trace Lineage","")</f>
        <v/>
      </c>
    </row>
    <row r="67" ht="15.75" customHeight="1" s="132">
      <c r="A67" s="271">
        <f>IF(DATA_KO!A58&lt;&gt;"",""&amp;DATA_KO!A58,"")</f>
        <v/>
      </c>
      <c r="B67" s="271">
        <f>IF(A67&lt;&gt;"","KO","")</f>
        <v/>
      </c>
      <c r="C67" s="264">
        <f>IF(A67&lt;&gt;"",""&amp;DATA_KO!B58,"")</f>
        <v/>
      </c>
      <c r="D67" s="264">
        <f>IF(A67&lt;&gt;"",""&amp;DATA_KO!C58,"")</f>
        <v/>
      </c>
      <c r="E67" s="272">
        <f>IF(A67&lt;&gt;"",DATA_KO!G58,"")</f>
        <v/>
      </c>
      <c r="F67" s="271">
        <f>IF(A67&lt;&gt;"",""&amp;DATA_KO!H58,"")</f>
        <v/>
      </c>
      <c r="G67" s="271">
        <f>IF(A67&lt;&gt;"",""&amp;DATA_KO!E58,"")</f>
        <v/>
      </c>
      <c r="H67" s="265">
        <f>IF(A67&lt;&gt;"","➔ Trace Lineage","")</f>
        <v/>
      </c>
    </row>
    <row r="68" ht="15.75" customHeight="1" s="132">
      <c r="A68" s="271">
        <f>IF(DATA_KO!A59&lt;&gt;"",""&amp;DATA_KO!A59,"")</f>
        <v/>
      </c>
      <c r="B68" s="271">
        <f>IF(A68&lt;&gt;"","KO","")</f>
        <v/>
      </c>
      <c r="C68" s="264">
        <f>IF(A68&lt;&gt;"",""&amp;DATA_KO!B59,"")</f>
        <v/>
      </c>
      <c r="D68" s="264">
        <f>IF(A68&lt;&gt;"",""&amp;DATA_KO!C59,"")</f>
        <v/>
      </c>
      <c r="E68" s="272">
        <f>IF(A68&lt;&gt;"",DATA_KO!G59,"")</f>
        <v/>
      </c>
      <c r="F68" s="271">
        <f>IF(A68&lt;&gt;"",""&amp;DATA_KO!H59,"")</f>
        <v/>
      </c>
      <c r="G68" s="271">
        <f>IF(A68&lt;&gt;"",""&amp;DATA_KO!E59,"")</f>
        <v/>
      </c>
      <c r="H68" s="265">
        <f>IF(A68&lt;&gt;"","➔ Trace Lineage","")</f>
        <v/>
      </c>
    </row>
    <row r="69" ht="15.75" customHeight="1" s="132">
      <c r="A69" s="271">
        <f>IF(DATA_KO!A60&lt;&gt;"",""&amp;DATA_KO!A60,"")</f>
        <v/>
      </c>
      <c r="B69" s="271">
        <f>IF(A69&lt;&gt;"","KO","")</f>
        <v/>
      </c>
      <c r="C69" s="264">
        <f>IF(A69&lt;&gt;"",""&amp;DATA_KO!B60,"")</f>
        <v/>
      </c>
      <c r="D69" s="264">
        <f>IF(A69&lt;&gt;"",""&amp;DATA_KO!C60,"")</f>
        <v/>
      </c>
      <c r="E69" s="272">
        <f>IF(A69&lt;&gt;"",DATA_KO!G60,"")</f>
        <v/>
      </c>
      <c r="F69" s="271">
        <f>IF(A69&lt;&gt;"",""&amp;DATA_KO!H60,"")</f>
        <v/>
      </c>
      <c r="G69" s="271">
        <f>IF(A69&lt;&gt;"",""&amp;DATA_KO!E60,"")</f>
        <v/>
      </c>
      <c r="H69" s="265">
        <f>IF(A69&lt;&gt;"","➔ Trace Lineage","")</f>
        <v/>
      </c>
    </row>
    <row r="70" ht="15.75" customHeight="1" s="132">
      <c r="A70" s="271">
        <f>IF(DATA_KO!A61&lt;&gt;"",""&amp;DATA_KO!A61,"")</f>
        <v/>
      </c>
      <c r="B70" s="271">
        <f>IF(A70&lt;&gt;"","KO","")</f>
        <v/>
      </c>
      <c r="C70" s="264">
        <f>IF(A70&lt;&gt;"",""&amp;DATA_KO!B61,"")</f>
        <v/>
      </c>
      <c r="D70" s="264">
        <f>IF(A70&lt;&gt;"",""&amp;DATA_KO!C61,"")</f>
        <v/>
      </c>
      <c r="E70" s="272">
        <f>IF(A70&lt;&gt;"",DATA_KO!G61,"")</f>
        <v/>
      </c>
      <c r="F70" s="271">
        <f>IF(A70&lt;&gt;"",""&amp;DATA_KO!H61,"")</f>
        <v/>
      </c>
      <c r="G70" s="271">
        <f>IF(A70&lt;&gt;"",""&amp;DATA_KO!E61,"")</f>
        <v/>
      </c>
      <c r="H70" s="265">
        <f>IF(A70&lt;&gt;"","➔ Trace Lineage","")</f>
        <v/>
      </c>
    </row>
    <row r="71" ht="15.75" customHeight="1" s="132">
      <c r="A71" s="271">
        <f>IF(DATA_KO!A62&lt;&gt;"",""&amp;DATA_KO!A62,"")</f>
        <v/>
      </c>
      <c r="B71" s="271">
        <f>IF(A71&lt;&gt;"","KO","")</f>
        <v/>
      </c>
      <c r="C71" s="264">
        <f>IF(A71&lt;&gt;"",""&amp;DATA_KO!B62,"")</f>
        <v/>
      </c>
      <c r="D71" s="264">
        <f>IF(A71&lt;&gt;"",""&amp;DATA_KO!C62,"")</f>
        <v/>
      </c>
      <c r="E71" s="272">
        <f>IF(A71&lt;&gt;"",DATA_KO!G62,"")</f>
        <v/>
      </c>
      <c r="F71" s="271">
        <f>IF(A71&lt;&gt;"",""&amp;DATA_KO!H62,"")</f>
        <v/>
      </c>
      <c r="G71" s="271">
        <f>IF(A71&lt;&gt;"",""&amp;DATA_KO!E62,"")</f>
        <v/>
      </c>
      <c r="H71" s="265">
        <f>IF(A71&lt;&gt;"","➔ Trace Lineage","")</f>
        <v/>
      </c>
    </row>
    <row r="72" ht="15.75" customHeight="1" s="132">
      <c r="A72" s="271">
        <f>IF(DATA_KO!A63&lt;&gt;"",""&amp;DATA_KO!A63,"")</f>
        <v/>
      </c>
      <c r="B72" s="271">
        <f>IF(A72&lt;&gt;"","KO","")</f>
        <v/>
      </c>
      <c r="C72" s="264">
        <f>IF(A72&lt;&gt;"",""&amp;DATA_KO!B63,"")</f>
        <v/>
      </c>
      <c r="D72" s="264">
        <f>IF(A72&lt;&gt;"",""&amp;DATA_KO!C63,"")</f>
        <v/>
      </c>
      <c r="E72" s="272">
        <f>IF(A72&lt;&gt;"",DATA_KO!G63,"")</f>
        <v/>
      </c>
      <c r="F72" s="271">
        <f>IF(A72&lt;&gt;"",""&amp;DATA_KO!H63,"")</f>
        <v/>
      </c>
      <c r="G72" s="271">
        <f>IF(A72&lt;&gt;"",""&amp;DATA_KO!E63,"")</f>
        <v/>
      </c>
      <c r="H72" s="265">
        <f>IF(A72&lt;&gt;"","➔ Trace Lineage","")</f>
        <v/>
      </c>
    </row>
    <row r="73" ht="15.75" customHeight="1" s="132">
      <c r="A73" s="271">
        <f>IF(DATA_KO!A64&lt;&gt;"",""&amp;DATA_KO!A64,"")</f>
        <v/>
      </c>
      <c r="B73" s="271">
        <f>IF(A73&lt;&gt;"","KO","")</f>
        <v/>
      </c>
      <c r="C73" s="264">
        <f>IF(A73&lt;&gt;"",""&amp;DATA_KO!B64,"")</f>
        <v/>
      </c>
      <c r="D73" s="264">
        <f>IF(A73&lt;&gt;"",""&amp;DATA_KO!C64,"")</f>
        <v/>
      </c>
      <c r="E73" s="272">
        <f>IF(A73&lt;&gt;"",DATA_KO!G64,"")</f>
        <v/>
      </c>
      <c r="F73" s="271">
        <f>IF(A73&lt;&gt;"",""&amp;DATA_KO!H64,"")</f>
        <v/>
      </c>
      <c r="G73" s="271">
        <f>IF(A73&lt;&gt;"",""&amp;DATA_KO!E64,"")</f>
        <v/>
      </c>
      <c r="H73" s="265">
        <f>IF(A73&lt;&gt;"","➔ Trace Lineage","")</f>
        <v/>
      </c>
    </row>
    <row r="74" ht="15.75" customHeight="1" s="132">
      <c r="A74" s="271">
        <f>IF(DATA_KO!A65&lt;&gt;"",""&amp;DATA_KO!A65,"")</f>
        <v/>
      </c>
      <c r="B74" s="271">
        <f>IF(A74&lt;&gt;"","KO","")</f>
        <v/>
      </c>
      <c r="C74" s="264">
        <f>IF(A74&lt;&gt;"",""&amp;DATA_KO!B65,"")</f>
        <v/>
      </c>
      <c r="D74" s="264">
        <f>IF(A74&lt;&gt;"",""&amp;DATA_KO!C65,"")</f>
        <v/>
      </c>
      <c r="E74" s="272">
        <f>IF(A74&lt;&gt;"",DATA_KO!G65,"")</f>
        <v/>
      </c>
      <c r="F74" s="271">
        <f>IF(A74&lt;&gt;"",""&amp;DATA_KO!H65,"")</f>
        <v/>
      </c>
      <c r="G74" s="271">
        <f>IF(A74&lt;&gt;"",""&amp;DATA_KO!E65,"")</f>
        <v/>
      </c>
      <c r="H74" s="265">
        <f>IF(A74&lt;&gt;"","➔ Trace Lineage","")</f>
        <v/>
      </c>
    </row>
    <row r="75" ht="15.75" customHeight="1" s="132">
      <c r="A75" s="271">
        <f>IF(DATA_KO!A66&lt;&gt;"",""&amp;DATA_KO!A66,"")</f>
        <v/>
      </c>
      <c r="B75" s="271">
        <f>IF(A75&lt;&gt;"","KO","")</f>
        <v/>
      </c>
      <c r="C75" s="264">
        <f>IF(A75&lt;&gt;"",""&amp;DATA_KO!B66,"")</f>
        <v/>
      </c>
      <c r="D75" s="264">
        <f>IF(A75&lt;&gt;"",""&amp;DATA_KO!C66,"")</f>
        <v/>
      </c>
      <c r="E75" s="272">
        <f>IF(A75&lt;&gt;"",DATA_KO!G66,"")</f>
        <v/>
      </c>
      <c r="F75" s="271">
        <f>IF(A75&lt;&gt;"",""&amp;DATA_KO!H66,"")</f>
        <v/>
      </c>
      <c r="G75" s="271">
        <f>IF(A75&lt;&gt;"",""&amp;DATA_KO!E66,"")</f>
        <v/>
      </c>
      <c r="H75" s="265">
        <f>IF(A75&lt;&gt;"","➔ Trace Lineage","")</f>
        <v/>
      </c>
    </row>
    <row r="76" ht="15.75" customHeight="1" s="132">
      <c r="A76" s="271">
        <f>IF(DATA_KO!A67&lt;&gt;"",""&amp;DATA_KO!A67,"")</f>
        <v/>
      </c>
      <c r="B76" s="271">
        <f>IF(A76&lt;&gt;"","KO","")</f>
        <v/>
      </c>
      <c r="C76" s="264">
        <f>IF(A76&lt;&gt;"",""&amp;DATA_KO!B67,"")</f>
        <v/>
      </c>
      <c r="D76" s="264">
        <f>IF(A76&lt;&gt;"",""&amp;DATA_KO!C67,"")</f>
        <v/>
      </c>
      <c r="E76" s="272">
        <f>IF(A76&lt;&gt;"",DATA_KO!G67,"")</f>
        <v/>
      </c>
      <c r="F76" s="271">
        <f>IF(A76&lt;&gt;"",""&amp;DATA_KO!H67,"")</f>
        <v/>
      </c>
      <c r="G76" s="271">
        <f>IF(A76&lt;&gt;"",""&amp;DATA_KO!E67,"")</f>
        <v/>
      </c>
      <c r="H76" s="265">
        <f>IF(A76&lt;&gt;"","➔ Trace Lineage","")</f>
        <v/>
      </c>
    </row>
    <row r="77" ht="15.75" customHeight="1" s="132">
      <c r="A77" s="271">
        <f>IF(DATA_KO!A68&lt;&gt;"",""&amp;DATA_KO!A68,"")</f>
        <v/>
      </c>
      <c r="B77" s="271">
        <f>IF(A77&lt;&gt;"","KO","")</f>
        <v/>
      </c>
      <c r="C77" s="264">
        <f>IF(A77&lt;&gt;"",""&amp;DATA_KO!B68,"")</f>
        <v/>
      </c>
      <c r="D77" s="264">
        <f>IF(A77&lt;&gt;"",""&amp;DATA_KO!C68,"")</f>
        <v/>
      </c>
      <c r="E77" s="272">
        <f>IF(A77&lt;&gt;"",DATA_KO!G68,"")</f>
        <v/>
      </c>
      <c r="F77" s="271">
        <f>IF(A77&lt;&gt;"",""&amp;DATA_KO!H68,"")</f>
        <v/>
      </c>
      <c r="G77" s="271">
        <f>IF(A77&lt;&gt;"",""&amp;DATA_KO!E68,"")</f>
        <v/>
      </c>
      <c r="H77" s="265">
        <f>IF(A77&lt;&gt;"","➔ Trace Lineage","")</f>
        <v/>
      </c>
    </row>
    <row r="78" ht="15.75" customHeight="1" s="132">
      <c r="A78" s="271">
        <f>IF(DATA_KO!A69&lt;&gt;"",""&amp;DATA_KO!A69,"")</f>
        <v/>
      </c>
      <c r="B78" s="271">
        <f>IF(A78&lt;&gt;"","KO","")</f>
        <v/>
      </c>
      <c r="C78" s="264">
        <f>IF(A78&lt;&gt;"",""&amp;DATA_KO!B69,"")</f>
        <v/>
      </c>
      <c r="D78" s="264">
        <f>IF(A78&lt;&gt;"",""&amp;DATA_KO!C69,"")</f>
        <v/>
      </c>
      <c r="E78" s="272">
        <f>IF(A78&lt;&gt;"",DATA_KO!G69,"")</f>
        <v/>
      </c>
      <c r="F78" s="271">
        <f>IF(A78&lt;&gt;"",""&amp;DATA_KO!H69,"")</f>
        <v/>
      </c>
      <c r="G78" s="271">
        <f>IF(A78&lt;&gt;"",""&amp;DATA_KO!E69,"")</f>
        <v/>
      </c>
      <c r="H78" s="265">
        <f>IF(A78&lt;&gt;"","➔ Trace Lineage","")</f>
        <v/>
      </c>
    </row>
    <row r="79" ht="15.75" customHeight="1" s="132">
      <c r="A79" s="271">
        <f>IF(DATA_KO!A70&lt;&gt;"",""&amp;DATA_KO!A70,"")</f>
        <v/>
      </c>
      <c r="B79" s="271">
        <f>IF(A79&lt;&gt;"","KO","")</f>
        <v/>
      </c>
      <c r="C79" s="264">
        <f>IF(A79&lt;&gt;"",""&amp;DATA_KO!B70,"")</f>
        <v/>
      </c>
      <c r="D79" s="264">
        <f>IF(A79&lt;&gt;"",""&amp;DATA_KO!C70,"")</f>
        <v/>
      </c>
      <c r="E79" s="272">
        <f>IF(A79&lt;&gt;"",DATA_KO!G70,"")</f>
        <v/>
      </c>
      <c r="F79" s="271">
        <f>IF(A79&lt;&gt;"",""&amp;DATA_KO!H70,"")</f>
        <v/>
      </c>
      <c r="G79" s="271">
        <f>IF(A79&lt;&gt;"",""&amp;DATA_KO!E70,"")</f>
        <v/>
      </c>
      <c r="H79" s="265">
        <f>IF(A79&lt;&gt;"","➔ Trace Lineage","")</f>
        <v/>
      </c>
    </row>
    <row r="80" ht="15.75" customHeight="1" s="132">
      <c r="A80" s="271">
        <f>IF(DATA_KO!A71&lt;&gt;"",""&amp;DATA_KO!A71,"")</f>
        <v/>
      </c>
      <c r="B80" s="271">
        <f>IF(A80&lt;&gt;"","KO","")</f>
        <v/>
      </c>
      <c r="C80" s="264">
        <f>IF(A80&lt;&gt;"",""&amp;DATA_KO!B71,"")</f>
        <v/>
      </c>
      <c r="D80" s="264">
        <f>IF(A80&lt;&gt;"",""&amp;DATA_KO!C71,"")</f>
        <v/>
      </c>
      <c r="E80" s="272">
        <f>IF(A80&lt;&gt;"",DATA_KO!G71,"")</f>
        <v/>
      </c>
      <c r="F80" s="271">
        <f>IF(A80&lt;&gt;"",""&amp;DATA_KO!H71,"")</f>
        <v/>
      </c>
      <c r="G80" s="271">
        <f>IF(A80&lt;&gt;"",""&amp;DATA_KO!E71,"")</f>
        <v/>
      </c>
      <c r="H80" s="265">
        <f>IF(A80&lt;&gt;"","➔ Trace Lineage","")</f>
        <v/>
      </c>
    </row>
    <row r="81" ht="15.75" customHeight="1" s="132">
      <c r="A81" s="271">
        <f>IF(DATA_KO!A72&lt;&gt;"",""&amp;DATA_KO!A72,"")</f>
        <v/>
      </c>
      <c r="B81" s="271">
        <f>IF(A81&lt;&gt;"","KO","")</f>
        <v/>
      </c>
      <c r="C81" s="264">
        <f>IF(A81&lt;&gt;"",""&amp;DATA_KO!B72,"")</f>
        <v/>
      </c>
      <c r="D81" s="264">
        <f>IF(A81&lt;&gt;"",""&amp;DATA_KO!C72,"")</f>
        <v/>
      </c>
      <c r="E81" s="272">
        <f>IF(A81&lt;&gt;"",DATA_KO!G72,"")</f>
        <v/>
      </c>
      <c r="F81" s="271">
        <f>IF(A81&lt;&gt;"",""&amp;DATA_KO!H72,"")</f>
        <v/>
      </c>
      <c r="G81" s="271">
        <f>IF(A81&lt;&gt;"",""&amp;DATA_KO!E72,"")</f>
        <v/>
      </c>
      <c r="H81" s="265">
        <f>IF(A81&lt;&gt;"","➔ Trace Lineage","")</f>
        <v/>
      </c>
    </row>
    <row r="82" ht="15.75" customHeight="1" s="132">
      <c r="A82" s="271">
        <f>IF(DATA_KO!A73&lt;&gt;"",""&amp;DATA_KO!A73,"")</f>
        <v/>
      </c>
      <c r="B82" s="271">
        <f>IF(A82&lt;&gt;"","KO","")</f>
        <v/>
      </c>
      <c r="C82" s="264">
        <f>IF(A82&lt;&gt;"",""&amp;DATA_KO!B73,"")</f>
        <v/>
      </c>
      <c r="D82" s="264">
        <f>IF(A82&lt;&gt;"",""&amp;DATA_KO!C73,"")</f>
        <v/>
      </c>
      <c r="E82" s="272">
        <f>IF(A82&lt;&gt;"",DATA_KO!G73,"")</f>
        <v/>
      </c>
      <c r="F82" s="271">
        <f>IF(A82&lt;&gt;"",""&amp;DATA_KO!H73,"")</f>
        <v/>
      </c>
      <c r="G82" s="271">
        <f>IF(A82&lt;&gt;"",""&amp;DATA_KO!E73,"")</f>
        <v/>
      </c>
      <c r="H82" s="265">
        <f>IF(A82&lt;&gt;"","➔ Trace Lineage","")</f>
        <v/>
      </c>
    </row>
    <row r="83" ht="15.75" customHeight="1" s="132">
      <c r="A83" s="271">
        <f>IF(DATA_KO!A74&lt;&gt;"",""&amp;DATA_KO!A74,"")</f>
        <v/>
      </c>
      <c r="B83" s="271">
        <f>IF(A83&lt;&gt;"","KO","")</f>
        <v/>
      </c>
      <c r="C83" s="264">
        <f>IF(A83&lt;&gt;"",""&amp;DATA_KO!B74,"")</f>
        <v/>
      </c>
      <c r="D83" s="264">
        <f>IF(A83&lt;&gt;"",""&amp;DATA_KO!C74,"")</f>
        <v/>
      </c>
      <c r="E83" s="272">
        <f>IF(A83&lt;&gt;"",DATA_KO!G74,"")</f>
        <v/>
      </c>
      <c r="F83" s="271">
        <f>IF(A83&lt;&gt;"",""&amp;DATA_KO!H74,"")</f>
        <v/>
      </c>
      <c r="G83" s="271">
        <f>IF(A83&lt;&gt;"",""&amp;DATA_KO!E74,"")</f>
        <v/>
      </c>
      <c r="H83" s="265">
        <f>IF(A83&lt;&gt;"","➔ Trace Lineage","")</f>
        <v/>
      </c>
    </row>
    <row r="84" ht="15.75" customHeight="1" s="132">
      <c r="A84" s="271">
        <f>IF(DATA_KO!A75&lt;&gt;"",""&amp;DATA_KO!A75,"")</f>
        <v/>
      </c>
      <c r="B84" s="271">
        <f>IF(A84&lt;&gt;"","KO","")</f>
        <v/>
      </c>
      <c r="C84" s="264">
        <f>IF(A84&lt;&gt;"",""&amp;DATA_KO!B75,"")</f>
        <v/>
      </c>
      <c r="D84" s="264">
        <f>IF(A84&lt;&gt;"",""&amp;DATA_KO!C75,"")</f>
        <v/>
      </c>
      <c r="E84" s="272">
        <f>IF(A84&lt;&gt;"",DATA_KO!G75,"")</f>
        <v/>
      </c>
      <c r="F84" s="271">
        <f>IF(A84&lt;&gt;"",""&amp;DATA_KO!H75,"")</f>
        <v/>
      </c>
      <c r="G84" s="271">
        <f>IF(A84&lt;&gt;"",""&amp;DATA_KO!E75,"")</f>
        <v/>
      </c>
      <c r="H84" s="265">
        <f>IF(A84&lt;&gt;"","➔ Trace Lineage","")</f>
        <v/>
      </c>
    </row>
    <row r="85" ht="15.75" customHeight="1" s="132">
      <c r="A85" s="271">
        <f>IF(DATA_KO!A76&lt;&gt;"",""&amp;DATA_KO!A76,"")</f>
        <v/>
      </c>
      <c r="B85" s="271">
        <f>IF(A85&lt;&gt;"","KO","")</f>
        <v/>
      </c>
      <c r="C85" s="264">
        <f>IF(A85&lt;&gt;"",""&amp;DATA_KO!B76,"")</f>
        <v/>
      </c>
      <c r="D85" s="264">
        <f>IF(A85&lt;&gt;"",""&amp;DATA_KO!C76,"")</f>
        <v/>
      </c>
      <c r="E85" s="272">
        <f>IF(A85&lt;&gt;"",DATA_KO!G76,"")</f>
        <v/>
      </c>
      <c r="F85" s="271">
        <f>IF(A85&lt;&gt;"",""&amp;DATA_KO!H76,"")</f>
        <v/>
      </c>
      <c r="G85" s="271">
        <f>IF(A85&lt;&gt;"",""&amp;DATA_KO!E76,"")</f>
        <v/>
      </c>
      <c r="H85" s="265">
        <f>IF(A85&lt;&gt;"","➔ Trace Lineage","")</f>
        <v/>
      </c>
    </row>
    <row r="86" ht="15.75" customHeight="1" s="132">
      <c r="A86" s="271">
        <f>IF(DATA_KO!A77&lt;&gt;"",""&amp;DATA_KO!A77,"")</f>
        <v/>
      </c>
      <c r="B86" s="271">
        <f>IF(A86&lt;&gt;"","KO","")</f>
        <v/>
      </c>
      <c r="C86" s="264">
        <f>IF(A86&lt;&gt;"",""&amp;DATA_KO!B77,"")</f>
        <v/>
      </c>
      <c r="D86" s="264">
        <f>IF(A86&lt;&gt;"",""&amp;DATA_KO!C77,"")</f>
        <v/>
      </c>
      <c r="E86" s="272">
        <f>IF(A86&lt;&gt;"",DATA_KO!G77,"")</f>
        <v/>
      </c>
      <c r="F86" s="271">
        <f>IF(A86&lt;&gt;"",""&amp;DATA_KO!H77,"")</f>
        <v/>
      </c>
      <c r="G86" s="271">
        <f>IF(A86&lt;&gt;"",""&amp;DATA_KO!E77,"")</f>
        <v/>
      </c>
      <c r="H86" s="265">
        <f>IF(A86&lt;&gt;"","➔ Trace Lineage","")</f>
        <v/>
      </c>
    </row>
    <row r="87" ht="15.75" customHeight="1" s="132">
      <c r="A87" s="271">
        <f>IF(DATA_KO!A78&lt;&gt;"",""&amp;DATA_KO!A78,"")</f>
        <v/>
      </c>
      <c r="B87" s="271">
        <f>IF(A87&lt;&gt;"","KO","")</f>
        <v/>
      </c>
      <c r="C87" s="264">
        <f>IF(A87&lt;&gt;"",""&amp;DATA_KO!B78,"")</f>
        <v/>
      </c>
      <c r="D87" s="264">
        <f>IF(A87&lt;&gt;"",""&amp;DATA_KO!C78,"")</f>
        <v/>
      </c>
      <c r="E87" s="272">
        <f>IF(A87&lt;&gt;"",DATA_KO!G78,"")</f>
        <v/>
      </c>
      <c r="F87" s="271">
        <f>IF(A87&lt;&gt;"",""&amp;DATA_KO!H78,"")</f>
        <v/>
      </c>
      <c r="G87" s="271">
        <f>IF(A87&lt;&gt;"",""&amp;DATA_KO!E78,"")</f>
        <v/>
      </c>
      <c r="H87" s="265">
        <f>IF(A87&lt;&gt;"","➔ Trace Lineage","")</f>
        <v/>
      </c>
    </row>
    <row r="88" ht="15.75" customHeight="1" s="132">
      <c r="A88" s="271">
        <f>IF(DATA_KO!A79&lt;&gt;"",""&amp;DATA_KO!A79,"")</f>
        <v/>
      </c>
      <c r="B88" s="271">
        <f>IF(A88&lt;&gt;"","KO","")</f>
        <v/>
      </c>
      <c r="C88" s="264">
        <f>IF(A88&lt;&gt;"",""&amp;DATA_KO!B79,"")</f>
        <v/>
      </c>
      <c r="D88" s="264">
        <f>IF(A88&lt;&gt;"",""&amp;DATA_KO!C79,"")</f>
        <v/>
      </c>
      <c r="E88" s="272">
        <f>IF(A88&lt;&gt;"",DATA_KO!G79,"")</f>
        <v/>
      </c>
      <c r="F88" s="271">
        <f>IF(A88&lt;&gt;"",""&amp;DATA_KO!H79,"")</f>
        <v/>
      </c>
      <c r="G88" s="271">
        <f>IF(A88&lt;&gt;"",""&amp;DATA_KO!E79,"")</f>
        <v/>
      </c>
      <c r="H88" s="265">
        <f>IF(A88&lt;&gt;"","➔ Trace Lineage","")</f>
        <v/>
      </c>
    </row>
    <row r="89" ht="15.75" customHeight="1" s="132">
      <c r="A89" s="271">
        <f>IF(DATA_KO!A80&lt;&gt;"",""&amp;DATA_KO!A80,"")</f>
        <v/>
      </c>
      <c r="B89" s="271">
        <f>IF(A89&lt;&gt;"","KO","")</f>
        <v/>
      </c>
      <c r="C89" s="264">
        <f>IF(A89&lt;&gt;"",""&amp;DATA_KO!B80,"")</f>
        <v/>
      </c>
      <c r="D89" s="264">
        <f>IF(A89&lt;&gt;"",""&amp;DATA_KO!C80,"")</f>
        <v/>
      </c>
      <c r="E89" s="272">
        <f>IF(A89&lt;&gt;"",DATA_KO!G80,"")</f>
        <v/>
      </c>
      <c r="F89" s="271">
        <f>IF(A89&lt;&gt;"",""&amp;DATA_KO!H80,"")</f>
        <v/>
      </c>
      <c r="G89" s="271">
        <f>IF(A89&lt;&gt;"",""&amp;DATA_KO!E80,"")</f>
        <v/>
      </c>
      <c r="H89" s="265">
        <f>IF(A89&lt;&gt;"","➔ Trace Lineage","")</f>
        <v/>
      </c>
    </row>
    <row r="90" ht="15.75" customHeight="1" s="132">
      <c r="A90" s="271">
        <f>IF(DATA_KO!A81&lt;&gt;"",""&amp;DATA_KO!A81,"")</f>
        <v/>
      </c>
      <c r="B90" s="271">
        <f>IF(A90&lt;&gt;"","KO","")</f>
        <v/>
      </c>
      <c r="C90" s="264">
        <f>IF(A90&lt;&gt;"",""&amp;DATA_KO!B81,"")</f>
        <v/>
      </c>
      <c r="D90" s="264">
        <f>IF(A90&lt;&gt;"",""&amp;DATA_KO!C81,"")</f>
        <v/>
      </c>
      <c r="E90" s="272">
        <f>IF(A90&lt;&gt;"",DATA_KO!G81,"")</f>
        <v/>
      </c>
      <c r="F90" s="271">
        <f>IF(A90&lt;&gt;"",""&amp;DATA_KO!H81,"")</f>
        <v/>
      </c>
      <c r="G90" s="271">
        <f>IF(A90&lt;&gt;"",""&amp;DATA_KO!E81,"")</f>
        <v/>
      </c>
      <c r="H90" s="265">
        <f>IF(A90&lt;&gt;"","➔ Trace Lineage","")</f>
        <v/>
      </c>
    </row>
    <row r="91" ht="15.75" customHeight="1" s="132">
      <c r="A91" s="271">
        <f>IF(DATA_KO!A82&lt;&gt;"",""&amp;DATA_KO!A82,"")</f>
        <v/>
      </c>
      <c r="B91" s="271">
        <f>IF(A91&lt;&gt;"","KO","")</f>
        <v/>
      </c>
      <c r="C91" s="264">
        <f>IF(A91&lt;&gt;"",""&amp;DATA_KO!B82,"")</f>
        <v/>
      </c>
      <c r="D91" s="264">
        <f>IF(A91&lt;&gt;"",""&amp;DATA_KO!C82,"")</f>
        <v/>
      </c>
      <c r="E91" s="272">
        <f>IF(A91&lt;&gt;"",DATA_KO!G82,"")</f>
        <v/>
      </c>
      <c r="F91" s="271">
        <f>IF(A91&lt;&gt;"",""&amp;DATA_KO!H82,"")</f>
        <v/>
      </c>
      <c r="G91" s="271">
        <f>IF(A91&lt;&gt;"",""&amp;DATA_KO!E82,"")</f>
        <v/>
      </c>
      <c r="H91" s="265">
        <f>IF(A91&lt;&gt;"","➔ Trace Lineage","")</f>
        <v/>
      </c>
    </row>
    <row r="92" ht="15.75" customHeight="1" s="132">
      <c r="A92" s="271">
        <f>IF(DATA_KO!A83&lt;&gt;"",""&amp;DATA_KO!A83,"")</f>
        <v/>
      </c>
      <c r="B92" s="271">
        <f>IF(A92&lt;&gt;"","KO","")</f>
        <v/>
      </c>
      <c r="C92" s="264">
        <f>IF(A92&lt;&gt;"",""&amp;DATA_KO!B83,"")</f>
        <v/>
      </c>
      <c r="D92" s="264">
        <f>IF(A92&lt;&gt;"",""&amp;DATA_KO!C83,"")</f>
        <v/>
      </c>
      <c r="E92" s="272">
        <f>IF(A92&lt;&gt;"",DATA_KO!G83,"")</f>
        <v/>
      </c>
      <c r="F92" s="271">
        <f>IF(A92&lt;&gt;"",""&amp;DATA_KO!H83,"")</f>
        <v/>
      </c>
      <c r="G92" s="271">
        <f>IF(A92&lt;&gt;"",""&amp;DATA_KO!E83,"")</f>
        <v/>
      </c>
      <c r="H92" s="265">
        <f>IF(A92&lt;&gt;"","➔ Trace Lineage","")</f>
        <v/>
      </c>
    </row>
    <row r="93" ht="15.75" customHeight="1" s="132">
      <c r="A93" s="271">
        <f>IF(DATA_KO!A84&lt;&gt;"",""&amp;DATA_KO!A84,"")</f>
        <v/>
      </c>
      <c r="B93" s="271">
        <f>IF(A93&lt;&gt;"","KO","")</f>
        <v/>
      </c>
      <c r="C93" s="264">
        <f>IF(A93&lt;&gt;"",""&amp;DATA_KO!B84,"")</f>
        <v/>
      </c>
      <c r="D93" s="264">
        <f>IF(A93&lt;&gt;"",""&amp;DATA_KO!C84,"")</f>
        <v/>
      </c>
      <c r="E93" s="272">
        <f>IF(A93&lt;&gt;"",DATA_KO!G84,"")</f>
        <v/>
      </c>
      <c r="F93" s="271">
        <f>IF(A93&lt;&gt;"",""&amp;DATA_KO!H84,"")</f>
        <v/>
      </c>
      <c r="G93" s="271">
        <f>IF(A93&lt;&gt;"",""&amp;DATA_KO!E84,"")</f>
        <v/>
      </c>
      <c r="H93" s="265">
        <f>IF(A93&lt;&gt;"","➔ Trace Lineage","")</f>
        <v/>
      </c>
    </row>
    <row r="94" ht="15.75" customHeight="1" s="132">
      <c r="A94" s="271">
        <f>IF(DATA_KO!A85&lt;&gt;"",""&amp;DATA_KO!A85,"")</f>
        <v/>
      </c>
      <c r="B94" s="271">
        <f>IF(A94&lt;&gt;"","KO","")</f>
        <v/>
      </c>
      <c r="C94" s="264">
        <f>IF(A94&lt;&gt;"",""&amp;DATA_KO!B85,"")</f>
        <v/>
      </c>
      <c r="D94" s="264">
        <f>IF(A94&lt;&gt;"",""&amp;DATA_KO!C85,"")</f>
        <v/>
      </c>
      <c r="E94" s="272">
        <f>IF(A94&lt;&gt;"",DATA_KO!G85,"")</f>
        <v/>
      </c>
      <c r="F94" s="271">
        <f>IF(A94&lt;&gt;"",""&amp;DATA_KO!H85,"")</f>
        <v/>
      </c>
      <c r="G94" s="271">
        <f>IF(A94&lt;&gt;"",""&amp;DATA_KO!E85,"")</f>
        <v/>
      </c>
      <c r="H94" s="265">
        <f>IF(A94&lt;&gt;"","➔ Trace Lineage","")</f>
        <v/>
      </c>
    </row>
    <row r="95" ht="15.75" customHeight="1" s="132">
      <c r="A95" s="271">
        <f>IF(DATA_KO!A86&lt;&gt;"",""&amp;DATA_KO!A86,"")</f>
        <v/>
      </c>
      <c r="B95" s="271">
        <f>IF(A95&lt;&gt;"","KO","")</f>
        <v/>
      </c>
      <c r="C95" s="264">
        <f>IF(A95&lt;&gt;"",""&amp;DATA_KO!B86,"")</f>
        <v/>
      </c>
      <c r="D95" s="264">
        <f>IF(A95&lt;&gt;"",""&amp;DATA_KO!C86,"")</f>
        <v/>
      </c>
      <c r="E95" s="272">
        <f>IF(A95&lt;&gt;"",DATA_KO!G86,"")</f>
        <v/>
      </c>
      <c r="F95" s="271">
        <f>IF(A95&lt;&gt;"",""&amp;DATA_KO!H86,"")</f>
        <v/>
      </c>
      <c r="G95" s="271">
        <f>IF(A95&lt;&gt;"",""&amp;DATA_KO!E86,"")</f>
        <v/>
      </c>
      <c r="H95" s="265">
        <f>IF(A95&lt;&gt;"","➔ Trace Lineage","")</f>
        <v/>
      </c>
    </row>
    <row r="96" ht="15.75" customHeight="1" s="132">
      <c r="A96" s="271">
        <f>IF(DATA_KO!A87&lt;&gt;"",""&amp;DATA_KO!A87,"")</f>
        <v/>
      </c>
      <c r="B96" s="271">
        <f>IF(A96&lt;&gt;"","KO","")</f>
        <v/>
      </c>
      <c r="C96" s="264">
        <f>IF(A96&lt;&gt;"",""&amp;DATA_KO!B87,"")</f>
        <v/>
      </c>
      <c r="D96" s="264">
        <f>IF(A96&lt;&gt;"",""&amp;DATA_KO!C87,"")</f>
        <v/>
      </c>
      <c r="E96" s="272">
        <f>IF(A96&lt;&gt;"",DATA_KO!G87,"")</f>
        <v/>
      </c>
      <c r="F96" s="271">
        <f>IF(A96&lt;&gt;"",""&amp;DATA_KO!H87,"")</f>
        <v/>
      </c>
      <c r="G96" s="271">
        <f>IF(A96&lt;&gt;"",""&amp;DATA_KO!E87,"")</f>
        <v/>
      </c>
      <c r="H96" s="265">
        <f>IF(A96&lt;&gt;"","➔ Trace Lineage","")</f>
        <v/>
      </c>
    </row>
    <row r="97" ht="15.75" customHeight="1" s="132">
      <c r="A97" s="271">
        <f>IF(DATA_KO!A88&lt;&gt;"",""&amp;DATA_KO!A88,"")</f>
        <v/>
      </c>
      <c r="B97" s="271">
        <f>IF(A97&lt;&gt;"","KO","")</f>
        <v/>
      </c>
      <c r="C97" s="264">
        <f>IF(A97&lt;&gt;"",""&amp;DATA_KO!B88,"")</f>
        <v/>
      </c>
      <c r="D97" s="264">
        <f>IF(A97&lt;&gt;"",""&amp;DATA_KO!C88,"")</f>
        <v/>
      </c>
      <c r="E97" s="272">
        <f>IF(A97&lt;&gt;"",DATA_KO!G88,"")</f>
        <v/>
      </c>
      <c r="F97" s="271">
        <f>IF(A97&lt;&gt;"",""&amp;DATA_KO!H88,"")</f>
        <v/>
      </c>
      <c r="G97" s="271">
        <f>IF(A97&lt;&gt;"",""&amp;DATA_KO!E88,"")</f>
        <v/>
      </c>
      <c r="H97" s="265">
        <f>IF(A97&lt;&gt;"","➔ Trace Lineage","")</f>
        <v/>
      </c>
    </row>
    <row r="98" ht="15.75" customHeight="1" s="132">
      <c r="A98" s="271">
        <f>IF(DATA_KO!A89&lt;&gt;"",""&amp;DATA_KO!A89,"")</f>
        <v/>
      </c>
      <c r="B98" s="271">
        <f>IF(A98&lt;&gt;"","KO","")</f>
        <v/>
      </c>
      <c r="C98" s="264">
        <f>IF(A98&lt;&gt;"",""&amp;DATA_KO!B89,"")</f>
        <v/>
      </c>
      <c r="D98" s="264">
        <f>IF(A98&lt;&gt;"",""&amp;DATA_KO!C89,"")</f>
        <v/>
      </c>
      <c r="E98" s="272">
        <f>IF(A98&lt;&gt;"",DATA_KO!G89,"")</f>
        <v/>
      </c>
      <c r="F98" s="271">
        <f>IF(A98&lt;&gt;"",""&amp;DATA_KO!H89,"")</f>
        <v/>
      </c>
      <c r="G98" s="271">
        <f>IF(A98&lt;&gt;"",""&amp;DATA_KO!E89,"")</f>
        <v/>
      </c>
      <c r="H98" s="265">
        <f>IF(A98&lt;&gt;"","➔ Trace Lineage","")</f>
        <v/>
      </c>
    </row>
    <row r="99" ht="15.75" customHeight="1" s="132">
      <c r="A99" s="271">
        <f>IF(DATA_KO!A90&lt;&gt;"",""&amp;DATA_KO!A90,"")</f>
        <v/>
      </c>
      <c r="B99" s="271">
        <f>IF(A99&lt;&gt;"","KO","")</f>
        <v/>
      </c>
      <c r="C99" s="264">
        <f>IF(A99&lt;&gt;"",""&amp;DATA_KO!B90,"")</f>
        <v/>
      </c>
      <c r="D99" s="264">
        <f>IF(A99&lt;&gt;"",""&amp;DATA_KO!C90,"")</f>
        <v/>
      </c>
      <c r="E99" s="272">
        <f>IF(A99&lt;&gt;"",DATA_KO!G90,"")</f>
        <v/>
      </c>
      <c r="F99" s="271">
        <f>IF(A99&lt;&gt;"",""&amp;DATA_KO!H90,"")</f>
        <v/>
      </c>
      <c r="G99" s="271">
        <f>IF(A99&lt;&gt;"",""&amp;DATA_KO!E90,"")</f>
        <v/>
      </c>
      <c r="H99" s="265">
        <f>IF(A99&lt;&gt;"","➔ Trace Lineage","")</f>
        <v/>
      </c>
    </row>
    <row r="100" ht="15.75" customHeight="1" s="132">
      <c r="A100" s="271">
        <f>IF(DATA_KO!A91&lt;&gt;"",""&amp;DATA_KO!A91,"")</f>
        <v/>
      </c>
      <c r="B100" s="271">
        <f>IF(A100&lt;&gt;"","KO","")</f>
        <v/>
      </c>
      <c r="C100" s="264">
        <f>IF(A100&lt;&gt;"",""&amp;DATA_KO!B91,"")</f>
        <v/>
      </c>
      <c r="D100" s="264">
        <f>IF(A100&lt;&gt;"",""&amp;DATA_KO!C91,"")</f>
        <v/>
      </c>
      <c r="E100" s="272">
        <f>IF(A100&lt;&gt;"",DATA_KO!G91,"")</f>
        <v/>
      </c>
      <c r="F100" s="271">
        <f>IF(A100&lt;&gt;"",""&amp;DATA_KO!H91,"")</f>
        <v/>
      </c>
      <c r="G100" s="271">
        <f>IF(A100&lt;&gt;"",""&amp;DATA_KO!E91,"")</f>
        <v/>
      </c>
      <c r="H100" s="265">
        <f>IF(A100&lt;&gt;"","➔ Trace Lineage","")</f>
        <v/>
      </c>
    </row>
    <row r="101" ht="15.75" customHeight="1" s="132">
      <c r="A101" s="271">
        <f>IF(DATA_KO!A92&lt;&gt;"",""&amp;DATA_KO!A92,"")</f>
        <v/>
      </c>
      <c r="B101" s="271">
        <f>IF(A101&lt;&gt;"","KO","")</f>
        <v/>
      </c>
      <c r="C101" s="264">
        <f>IF(A101&lt;&gt;"",""&amp;DATA_KO!B92,"")</f>
        <v/>
      </c>
      <c r="D101" s="264">
        <f>IF(A101&lt;&gt;"",""&amp;DATA_KO!C92,"")</f>
        <v/>
      </c>
      <c r="E101" s="272">
        <f>IF(A101&lt;&gt;"",DATA_KO!G92,"")</f>
        <v/>
      </c>
      <c r="F101" s="271">
        <f>IF(A101&lt;&gt;"",""&amp;DATA_KO!H92,"")</f>
        <v/>
      </c>
      <c r="G101" s="271">
        <f>IF(A101&lt;&gt;"",""&amp;DATA_KO!E92,"")</f>
        <v/>
      </c>
      <c r="H101" s="265">
        <f>IF(A101&lt;&gt;"","➔ Trace Lineage","")</f>
        <v/>
      </c>
    </row>
    <row r="102" ht="15.75" customHeight="1" s="132">
      <c r="A102" s="271">
        <f>IF(DATA_KO!A93&lt;&gt;"",""&amp;DATA_KO!A93,"")</f>
        <v/>
      </c>
      <c r="B102" s="271">
        <f>IF(A102&lt;&gt;"","KO","")</f>
        <v/>
      </c>
      <c r="C102" s="264">
        <f>IF(A102&lt;&gt;"",""&amp;DATA_KO!B93,"")</f>
        <v/>
      </c>
      <c r="D102" s="264">
        <f>IF(A102&lt;&gt;"",""&amp;DATA_KO!C93,"")</f>
        <v/>
      </c>
      <c r="E102" s="272">
        <f>IF(A102&lt;&gt;"",DATA_KO!G93,"")</f>
        <v/>
      </c>
      <c r="F102" s="271">
        <f>IF(A102&lt;&gt;"",""&amp;DATA_KO!H93,"")</f>
        <v/>
      </c>
      <c r="G102" s="271">
        <f>IF(A102&lt;&gt;"",""&amp;DATA_KO!E93,"")</f>
        <v/>
      </c>
      <c r="H102" s="265">
        <f>IF(A102&lt;&gt;"","➔ Trace Lineage","")</f>
        <v/>
      </c>
    </row>
    <row r="103" ht="15.75" customHeight="1" s="132">
      <c r="A103" s="271">
        <f>IF(DATA_KO!A94&lt;&gt;"",""&amp;DATA_KO!A94,"")</f>
        <v/>
      </c>
      <c r="B103" s="271">
        <f>IF(A103&lt;&gt;"","KO","")</f>
        <v/>
      </c>
      <c r="C103" s="264">
        <f>IF(A103&lt;&gt;"",""&amp;DATA_KO!B94,"")</f>
        <v/>
      </c>
      <c r="D103" s="264">
        <f>IF(A103&lt;&gt;"",""&amp;DATA_KO!C94,"")</f>
        <v/>
      </c>
      <c r="E103" s="272">
        <f>IF(A103&lt;&gt;"",DATA_KO!G94,"")</f>
        <v/>
      </c>
      <c r="F103" s="271">
        <f>IF(A103&lt;&gt;"",""&amp;DATA_KO!H94,"")</f>
        <v/>
      </c>
      <c r="G103" s="271">
        <f>IF(A103&lt;&gt;"",""&amp;DATA_KO!E94,"")</f>
        <v/>
      </c>
      <c r="H103" s="265">
        <f>IF(A103&lt;&gt;"","➔ Trace Lineage","")</f>
        <v/>
      </c>
    </row>
    <row r="104" ht="15.75" customHeight="1" s="132">
      <c r="A104" s="271">
        <f>IF(DATA_KO!A95&lt;&gt;"",""&amp;DATA_KO!A95,"")</f>
        <v/>
      </c>
      <c r="B104" s="271">
        <f>IF(A104&lt;&gt;"","KO","")</f>
        <v/>
      </c>
      <c r="C104" s="264">
        <f>IF(A104&lt;&gt;"",""&amp;DATA_KO!B95,"")</f>
        <v/>
      </c>
      <c r="D104" s="264">
        <f>IF(A104&lt;&gt;"",""&amp;DATA_KO!C95,"")</f>
        <v/>
      </c>
      <c r="E104" s="272">
        <f>IF(A104&lt;&gt;"",DATA_KO!G95,"")</f>
        <v/>
      </c>
      <c r="F104" s="271">
        <f>IF(A104&lt;&gt;"",""&amp;DATA_KO!H95,"")</f>
        <v/>
      </c>
      <c r="G104" s="271">
        <f>IF(A104&lt;&gt;"",""&amp;DATA_KO!E95,"")</f>
        <v/>
      </c>
      <c r="H104" s="265">
        <f>IF(A104&lt;&gt;"","➔ Trace Lineage","")</f>
        <v/>
      </c>
    </row>
    <row r="105" ht="15.75" customHeight="1" s="132">
      <c r="A105" s="271">
        <f>IF(DATA_KO!A96&lt;&gt;"",""&amp;DATA_KO!A96,"")</f>
        <v/>
      </c>
      <c r="B105" s="271">
        <f>IF(A105&lt;&gt;"","KO","")</f>
        <v/>
      </c>
      <c r="C105" s="264">
        <f>IF(A105&lt;&gt;"",""&amp;DATA_KO!B96,"")</f>
        <v/>
      </c>
      <c r="D105" s="264">
        <f>IF(A105&lt;&gt;"",""&amp;DATA_KO!C96,"")</f>
        <v/>
      </c>
      <c r="E105" s="272">
        <f>IF(A105&lt;&gt;"",DATA_KO!G96,"")</f>
        <v/>
      </c>
      <c r="F105" s="271">
        <f>IF(A105&lt;&gt;"",""&amp;DATA_KO!H96,"")</f>
        <v/>
      </c>
      <c r="G105" s="271">
        <f>IF(A105&lt;&gt;"",""&amp;DATA_KO!E96,"")</f>
        <v/>
      </c>
      <c r="H105" s="265">
        <f>IF(A105&lt;&gt;"","➔ Trace Lineage","")</f>
        <v/>
      </c>
    </row>
    <row r="106" ht="15.75" customHeight="1" s="132">
      <c r="A106" s="271">
        <f>IF(DATA_KO!A97&lt;&gt;"",""&amp;DATA_KO!A97,"")</f>
        <v/>
      </c>
      <c r="B106" s="271">
        <f>IF(A106&lt;&gt;"","KO","")</f>
        <v/>
      </c>
      <c r="C106" s="264">
        <f>IF(A106&lt;&gt;"",""&amp;DATA_KO!B97,"")</f>
        <v/>
      </c>
      <c r="D106" s="264">
        <f>IF(A106&lt;&gt;"",""&amp;DATA_KO!C97,"")</f>
        <v/>
      </c>
      <c r="E106" s="272">
        <f>IF(A106&lt;&gt;"",DATA_KO!G97,"")</f>
        <v/>
      </c>
      <c r="F106" s="271">
        <f>IF(A106&lt;&gt;"",""&amp;DATA_KO!H97,"")</f>
        <v/>
      </c>
      <c r="G106" s="271">
        <f>IF(A106&lt;&gt;"",""&amp;DATA_KO!E97,"")</f>
        <v/>
      </c>
      <c r="H106" s="265">
        <f>IF(A106&lt;&gt;"","➔ Trace Lineage","")</f>
        <v/>
      </c>
    </row>
    <row r="107" ht="15.75" customHeight="1" s="132">
      <c r="A107" s="271">
        <f>IF(DATA_KO!A98&lt;&gt;"",""&amp;DATA_KO!A98,"")</f>
        <v/>
      </c>
      <c r="B107" s="271">
        <f>IF(A107&lt;&gt;"","KO","")</f>
        <v/>
      </c>
      <c r="C107" s="264">
        <f>IF(A107&lt;&gt;"",""&amp;DATA_KO!B98,"")</f>
        <v/>
      </c>
      <c r="D107" s="264">
        <f>IF(A107&lt;&gt;"",""&amp;DATA_KO!C98,"")</f>
        <v/>
      </c>
      <c r="E107" s="272">
        <f>IF(A107&lt;&gt;"",DATA_KO!G98,"")</f>
        <v/>
      </c>
      <c r="F107" s="271">
        <f>IF(A107&lt;&gt;"",""&amp;DATA_KO!H98,"")</f>
        <v/>
      </c>
      <c r="G107" s="271">
        <f>IF(A107&lt;&gt;"",""&amp;DATA_KO!E98,"")</f>
        <v/>
      </c>
      <c r="H107" s="265">
        <f>IF(A107&lt;&gt;"","➔ Trace Lineage","")</f>
        <v/>
      </c>
    </row>
    <row r="108" ht="15.75" customHeight="1" s="132">
      <c r="A108" s="271">
        <f>IF(DATA_KO!A99&lt;&gt;"",""&amp;DATA_KO!A99,"")</f>
        <v/>
      </c>
      <c r="B108" s="271">
        <f>IF(A108&lt;&gt;"","KO","")</f>
        <v/>
      </c>
      <c r="C108" s="264">
        <f>IF(A108&lt;&gt;"",""&amp;DATA_KO!B99,"")</f>
        <v/>
      </c>
      <c r="D108" s="264">
        <f>IF(A108&lt;&gt;"",""&amp;DATA_KO!C99,"")</f>
        <v/>
      </c>
      <c r="E108" s="272">
        <f>IF(A108&lt;&gt;"",DATA_KO!G99,"")</f>
        <v/>
      </c>
      <c r="F108" s="271">
        <f>IF(A108&lt;&gt;"",""&amp;DATA_KO!H99,"")</f>
        <v/>
      </c>
      <c r="G108" s="271">
        <f>IF(A108&lt;&gt;"",""&amp;DATA_KO!E99,"")</f>
        <v/>
      </c>
      <c r="H108" s="265">
        <f>IF(A108&lt;&gt;"","➔ Trace Lineage","")</f>
        <v/>
      </c>
    </row>
    <row r="109" ht="15.75" customHeight="1" s="132">
      <c r="A109" s="271">
        <f>IF(DATA_KO!A100&lt;&gt;"",""&amp;DATA_KO!A100,"")</f>
        <v/>
      </c>
      <c r="B109" s="271">
        <f>IF(A109&lt;&gt;"","KO","")</f>
        <v/>
      </c>
      <c r="C109" s="264">
        <f>IF(A109&lt;&gt;"",""&amp;DATA_KO!B100,"")</f>
        <v/>
      </c>
      <c r="D109" s="264">
        <f>IF(A109&lt;&gt;"",""&amp;DATA_KO!C100,"")</f>
        <v/>
      </c>
      <c r="E109" s="272">
        <f>IF(A109&lt;&gt;"",DATA_KO!G100,"")</f>
        <v/>
      </c>
      <c r="F109" s="271">
        <f>IF(A109&lt;&gt;"",""&amp;DATA_KO!H100,"")</f>
        <v/>
      </c>
      <c r="G109" s="271">
        <f>IF(A109&lt;&gt;"",""&amp;DATA_KO!E100,"")</f>
        <v/>
      </c>
      <c r="H109" s="265">
        <f>IF(A109&lt;&gt;"","➔ Trace Lineage","")</f>
        <v/>
      </c>
    </row>
    <row r="110" ht="15.75" customHeight="1" s="132">
      <c r="A110" s="271">
        <f>IF(DATA_KO!A101&lt;&gt;"",""&amp;DATA_KO!A101,"")</f>
        <v/>
      </c>
      <c r="B110" s="271">
        <f>IF(A110&lt;&gt;"","KO","")</f>
        <v/>
      </c>
      <c r="C110" s="264">
        <f>IF(A110&lt;&gt;"",""&amp;DATA_KO!B101,"")</f>
        <v/>
      </c>
      <c r="D110" s="264">
        <f>IF(A110&lt;&gt;"",""&amp;DATA_KO!C101,"")</f>
        <v/>
      </c>
      <c r="E110" s="272">
        <f>IF(A110&lt;&gt;"",DATA_KO!G101,"")</f>
        <v/>
      </c>
      <c r="F110" s="271">
        <f>IF(A110&lt;&gt;"",""&amp;DATA_KO!H101,"")</f>
        <v/>
      </c>
      <c r="G110" s="271">
        <f>IF(A110&lt;&gt;"",""&amp;DATA_KO!E101,"")</f>
        <v/>
      </c>
      <c r="H110" s="265">
        <f>IF(A110&lt;&gt;"","➔ Trace Lineage","")</f>
        <v/>
      </c>
    </row>
    <row r="111" ht="15.75" customHeight="1" s="132">
      <c r="A111" s="271">
        <f>IF(DATA_KO!A102&lt;&gt;"",""&amp;DATA_KO!A102,"")</f>
        <v/>
      </c>
      <c r="B111" s="271">
        <f>IF(A111&lt;&gt;"","KO","")</f>
        <v/>
      </c>
      <c r="C111" s="264">
        <f>IF(A111&lt;&gt;"",""&amp;DATA_KO!B102,"")</f>
        <v/>
      </c>
      <c r="D111" s="264">
        <f>IF(A111&lt;&gt;"",""&amp;DATA_KO!C102,"")</f>
        <v/>
      </c>
      <c r="E111" s="272">
        <f>IF(A111&lt;&gt;"",DATA_KO!G102,"")</f>
        <v/>
      </c>
      <c r="F111" s="271">
        <f>IF(A111&lt;&gt;"",""&amp;DATA_KO!H102,"")</f>
        <v/>
      </c>
      <c r="G111" s="271">
        <f>IF(A111&lt;&gt;"",""&amp;DATA_KO!E102,"")</f>
        <v/>
      </c>
      <c r="H111" s="265">
        <f>IF(A111&lt;&gt;"","➔ Trace Lineage","")</f>
        <v/>
      </c>
    </row>
    <row r="112" ht="15.75" customHeight="1" s="132">
      <c r="A112" s="271">
        <f>IF(DATA_KO!A103&lt;&gt;"",""&amp;DATA_KO!A103,"")</f>
        <v/>
      </c>
      <c r="B112" s="271">
        <f>IF(A112&lt;&gt;"","KO","")</f>
        <v/>
      </c>
      <c r="C112" s="264">
        <f>IF(A112&lt;&gt;"",""&amp;DATA_KO!B103,"")</f>
        <v/>
      </c>
      <c r="D112" s="264">
        <f>IF(A112&lt;&gt;"",""&amp;DATA_KO!C103,"")</f>
        <v/>
      </c>
      <c r="E112" s="272">
        <f>IF(A112&lt;&gt;"",DATA_KO!G103,"")</f>
        <v/>
      </c>
      <c r="F112" s="271">
        <f>IF(A112&lt;&gt;"",""&amp;DATA_KO!H103,"")</f>
        <v/>
      </c>
      <c r="G112" s="271">
        <f>IF(A112&lt;&gt;"",""&amp;DATA_KO!E103,"")</f>
        <v/>
      </c>
      <c r="H112" s="265">
        <f>IF(A112&lt;&gt;"","➔ Trace Lineage","")</f>
        <v/>
      </c>
    </row>
    <row r="113" ht="15.75" customHeight="1" s="132">
      <c r="A113" s="271">
        <f>IF(DATA_KO!A104&lt;&gt;"",""&amp;DATA_KO!A104,"")</f>
        <v/>
      </c>
      <c r="B113" s="271">
        <f>IF(A113&lt;&gt;"","KO","")</f>
        <v/>
      </c>
      <c r="C113" s="264">
        <f>IF(A113&lt;&gt;"",""&amp;DATA_KO!B104,"")</f>
        <v/>
      </c>
      <c r="D113" s="264">
        <f>IF(A113&lt;&gt;"",""&amp;DATA_KO!C104,"")</f>
        <v/>
      </c>
      <c r="E113" s="272">
        <f>IF(A113&lt;&gt;"",DATA_KO!G104,"")</f>
        <v/>
      </c>
      <c r="F113" s="271">
        <f>IF(A113&lt;&gt;"",""&amp;DATA_KO!H104,"")</f>
        <v/>
      </c>
      <c r="G113" s="271">
        <f>IF(A113&lt;&gt;"",""&amp;DATA_KO!E104,"")</f>
        <v/>
      </c>
      <c r="H113" s="265">
        <f>IF(A113&lt;&gt;"","➔ Trace Lineage","")</f>
        <v/>
      </c>
    </row>
    <row r="114" ht="15.75" customHeight="1" s="132">
      <c r="A114" s="271">
        <f>IF(DATA_KO!A105&lt;&gt;"",""&amp;DATA_KO!A105,"")</f>
        <v/>
      </c>
      <c r="B114" s="271">
        <f>IF(A114&lt;&gt;"","KO","")</f>
        <v/>
      </c>
      <c r="C114" s="264">
        <f>IF(A114&lt;&gt;"",""&amp;DATA_KO!B105,"")</f>
        <v/>
      </c>
      <c r="D114" s="264">
        <f>IF(A114&lt;&gt;"",""&amp;DATA_KO!C105,"")</f>
        <v/>
      </c>
      <c r="E114" s="272">
        <f>IF(A114&lt;&gt;"",DATA_KO!G105,"")</f>
        <v/>
      </c>
      <c r="F114" s="271">
        <f>IF(A114&lt;&gt;"",""&amp;DATA_KO!H105,"")</f>
        <v/>
      </c>
      <c r="G114" s="271">
        <f>IF(A114&lt;&gt;"",""&amp;DATA_KO!E105,"")</f>
        <v/>
      </c>
      <c r="H114" s="265">
        <f>IF(A114&lt;&gt;"","➔ Trace Lineage","")</f>
        <v/>
      </c>
    </row>
    <row r="115" ht="15.75" customHeight="1" s="132">
      <c r="A115" s="271">
        <f>IF(DATA_KO!A106&lt;&gt;"",""&amp;DATA_KO!A106,"")</f>
        <v/>
      </c>
      <c r="B115" s="271">
        <f>IF(A115&lt;&gt;"","KO","")</f>
        <v/>
      </c>
      <c r="C115" s="264">
        <f>IF(A115&lt;&gt;"",""&amp;DATA_KO!B106,"")</f>
        <v/>
      </c>
      <c r="D115" s="264">
        <f>IF(A115&lt;&gt;"",""&amp;DATA_KO!C106,"")</f>
        <v/>
      </c>
      <c r="E115" s="272">
        <f>IF(A115&lt;&gt;"",DATA_KO!G106,"")</f>
        <v/>
      </c>
      <c r="F115" s="271">
        <f>IF(A115&lt;&gt;"",""&amp;DATA_KO!H106,"")</f>
        <v/>
      </c>
      <c r="G115" s="271">
        <f>IF(A115&lt;&gt;"",""&amp;DATA_KO!E106,"")</f>
        <v/>
      </c>
      <c r="H115" s="265">
        <f>IF(A115&lt;&gt;"","➔ Trace Lineage","")</f>
        <v/>
      </c>
    </row>
    <row r="116" ht="15.75" customHeight="1" s="132">
      <c r="A116" s="271">
        <f>IF(DATA_KO!A107&lt;&gt;"",""&amp;DATA_KO!A107,"")</f>
        <v/>
      </c>
      <c r="B116" s="271">
        <f>IF(A116&lt;&gt;"","KO","")</f>
        <v/>
      </c>
      <c r="C116" s="264">
        <f>IF(A116&lt;&gt;"",""&amp;DATA_KO!B107,"")</f>
        <v/>
      </c>
      <c r="D116" s="264">
        <f>IF(A116&lt;&gt;"",""&amp;DATA_KO!C107,"")</f>
        <v/>
      </c>
      <c r="E116" s="272">
        <f>IF(A116&lt;&gt;"",DATA_KO!G107,"")</f>
        <v/>
      </c>
      <c r="F116" s="271">
        <f>IF(A116&lt;&gt;"",""&amp;DATA_KO!H107,"")</f>
        <v/>
      </c>
      <c r="G116" s="271">
        <f>IF(A116&lt;&gt;"",""&amp;DATA_KO!E107,"")</f>
        <v/>
      </c>
      <c r="H116" s="265">
        <f>IF(A116&lt;&gt;"","➔ Trace Lineage","")</f>
        <v/>
      </c>
    </row>
    <row r="117" ht="15.75" customHeight="1" s="132">
      <c r="A117" s="271">
        <f>IF(DATA_KO!A108&lt;&gt;"",""&amp;DATA_KO!A108,"")</f>
        <v/>
      </c>
      <c r="B117" s="271">
        <f>IF(A117&lt;&gt;"","KO","")</f>
        <v/>
      </c>
      <c r="C117" s="264">
        <f>IF(A117&lt;&gt;"",""&amp;DATA_KO!B108,"")</f>
        <v/>
      </c>
      <c r="D117" s="264">
        <f>IF(A117&lt;&gt;"",""&amp;DATA_KO!C108,"")</f>
        <v/>
      </c>
      <c r="E117" s="272">
        <f>IF(A117&lt;&gt;"",DATA_KO!G108,"")</f>
        <v/>
      </c>
      <c r="F117" s="271">
        <f>IF(A117&lt;&gt;"",""&amp;DATA_KO!H108,"")</f>
        <v/>
      </c>
      <c r="G117" s="271">
        <f>IF(A117&lt;&gt;"",""&amp;DATA_KO!E108,"")</f>
        <v/>
      </c>
      <c r="H117" s="265">
        <f>IF(A117&lt;&gt;"","➔ Trace Lineage","")</f>
        <v/>
      </c>
    </row>
    <row r="118" ht="15.75" customHeight="1" s="132">
      <c r="A118" s="271">
        <f>IF(DATA_KO!A109&lt;&gt;"",""&amp;DATA_KO!A109,"")</f>
        <v/>
      </c>
      <c r="B118" s="271">
        <f>IF(A118&lt;&gt;"","KO","")</f>
        <v/>
      </c>
      <c r="C118" s="264">
        <f>IF(A118&lt;&gt;"",""&amp;DATA_KO!B109,"")</f>
        <v/>
      </c>
      <c r="D118" s="264">
        <f>IF(A118&lt;&gt;"",""&amp;DATA_KO!C109,"")</f>
        <v/>
      </c>
      <c r="E118" s="272">
        <f>IF(A118&lt;&gt;"",DATA_KO!G109,"")</f>
        <v/>
      </c>
      <c r="F118" s="271">
        <f>IF(A118&lt;&gt;"",""&amp;DATA_KO!H109,"")</f>
        <v/>
      </c>
      <c r="G118" s="271">
        <f>IF(A118&lt;&gt;"",""&amp;DATA_KO!E109,"")</f>
        <v/>
      </c>
      <c r="H118" s="265">
        <f>IF(A118&lt;&gt;"","➔ Trace Lineage","")</f>
        <v/>
      </c>
    </row>
    <row r="119" ht="15.75" customHeight="1" s="132">
      <c r="A119" s="271">
        <f>IF(DATA_KO!A110&lt;&gt;"",""&amp;DATA_KO!A110,"")</f>
        <v/>
      </c>
      <c r="B119" s="271">
        <f>IF(A119&lt;&gt;"","KO","")</f>
        <v/>
      </c>
      <c r="C119" s="264">
        <f>IF(A119&lt;&gt;"",""&amp;DATA_KO!B110,"")</f>
        <v/>
      </c>
      <c r="D119" s="264">
        <f>IF(A119&lt;&gt;"",""&amp;DATA_KO!C110,"")</f>
        <v/>
      </c>
      <c r="E119" s="272">
        <f>IF(A119&lt;&gt;"",DATA_KO!G110,"")</f>
        <v/>
      </c>
      <c r="F119" s="271">
        <f>IF(A119&lt;&gt;"",""&amp;DATA_KO!H110,"")</f>
        <v/>
      </c>
      <c r="G119" s="271">
        <f>IF(A119&lt;&gt;"",""&amp;DATA_KO!E110,"")</f>
        <v/>
      </c>
      <c r="H119" s="265">
        <f>IF(A119&lt;&gt;"","➔ Trace Lineage","")</f>
        <v/>
      </c>
    </row>
    <row r="120" ht="15.75" customHeight="1" s="132">
      <c r="A120" s="271">
        <f>IF(DATA_KO!A111&lt;&gt;"",""&amp;DATA_KO!A111,"")</f>
        <v/>
      </c>
      <c r="B120" s="271">
        <f>IF(A120&lt;&gt;"","KO","")</f>
        <v/>
      </c>
      <c r="C120" s="264">
        <f>IF(A120&lt;&gt;"",""&amp;DATA_KO!B111,"")</f>
        <v/>
      </c>
      <c r="D120" s="264">
        <f>IF(A120&lt;&gt;"",""&amp;DATA_KO!C111,"")</f>
        <v/>
      </c>
      <c r="E120" s="272">
        <f>IF(A120&lt;&gt;"",DATA_KO!G111,"")</f>
        <v/>
      </c>
      <c r="F120" s="271">
        <f>IF(A120&lt;&gt;"",""&amp;DATA_KO!H111,"")</f>
        <v/>
      </c>
      <c r="G120" s="271">
        <f>IF(A120&lt;&gt;"",""&amp;DATA_KO!E111,"")</f>
        <v/>
      </c>
      <c r="H120" s="265">
        <f>IF(A120&lt;&gt;"","➔ Trace Lineage","")</f>
        <v/>
      </c>
    </row>
    <row r="121" ht="15.75" customHeight="1" s="132">
      <c r="A121" s="271">
        <f>IF(DATA_KO!A112&lt;&gt;"",""&amp;DATA_KO!A112,"")</f>
        <v/>
      </c>
      <c r="B121" s="271">
        <f>IF(A121&lt;&gt;"","KO","")</f>
        <v/>
      </c>
      <c r="C121" s="264">
        <f>IF(A121&lt;&gt;"",""&amp;DATA_KO!B112,"")</f>
        <v/>
      </c>
      <c r="D121" s="264">
        <f>IF(A121&lt;&gt;"",""&amp;DATA_KO!C112,"")</f>
        <v/>
      </c>
      <c r="E121" s="272">
        <f>IF(A121&lt;&gt;"",DATA_KO!G112,"")</f>
        <v/>
      </c>
      <c r="F121" s="271">
        <f>IF(A121&lt;&gt;"",""&amp;DATA_KO!H112,"")</f>
        <v/>
      </c>
      <c r="G121" s="271">
        <f>IF(A121&lt;&gt;"",""&amp;DATA_KO!E112,"")</f>
        <v/>
      </c>
      <c r="H121" s="265">
        <f>IF(A121&lt;&gt;"","➔ Trace Lineage","")</f>
        <v/>
      </c>
    </row>
    <row r="122" ht="15.75" customHeight="1" s="132">
      <c r="A122" s="273">
        <f>IF(DATA_KO!A113&lt;&gt;"",""&amp;DATA_KO!A113,"")</f>
        <v/>
      </c>
      <c r="B122" s="273">
        <f>IF(A122&lt;&gt;"","KO","")</f>
        <v/>
      </c>
      <c r="C122" s="273">
        <f>IF(A122&lt;&gt;"",""&amp;DATA_KO!B113,"")</f>
        <v/>
      </c>
      <c r="D122" s="273">
        <f>IF(A122&lt;&gt;"",""&amp;DATA_KO!C113,"")</f>
        <v/>
      </c>
      <c r="E122" s="274">
        <f>IF(A122&lt;&gt;"",DATA_KO!G113,"")</f>
        <v/>
      </c>
      <c r="F122" s="273">
        <f>IF(A122&lt;&gt;"",""&amp;DATA_KO!H113,"")</f>
        <v/>
      </c>
      <c r="G122" s="273">
        <f>IF(A122&lt;&gt;"",""&amp;DATA_KO!E113,"")</f>
        <v/>
      </c>
      <c r="H122" s="275">
        <f>IF(A122&lt;&gt;"","➔ Trace Lineage","")</f>
        <v/>
      </c>
    </row>
    <row r="123" ht="15.75" customHeight="1" s="132">
      <c r="A123" s="273">
        <f>IF(DATA_KO!A114&lt;&gt;"",""&amp;DATA_KO!A114,"")</f>
        <v/>
      </c>
      <c r="B123" s="273">
        <f>IF(A123&lt;&gt;"","KO","")</f>
        <v/>
      </c>
      <c r="C123" s="273">
        <f>IF(A123&lt;&gt;"",""&amp;DATA_KO!B114,"")</f>
        <v/>
      </c>
      <c r="D123" s="273">
        <f>IF(A123&lt;&gt;"",""&amp;DATA_KO!C114,"")</f>
        <v/>
      </c>
      <c r="E123" s="274">
        <f>IF(A123&lt;&gt;"",DATA_KO!G114,"")</f>
        <v/>
      </c>
      <c r="F123" s="273">
        <f>IF(A123&lt;&gt;"",""&amp;DATA_KO!H114,"")</f>
        <v/>
      </c>
      <c r="G123" s="273">
        <f>IF(A123&lt;&gt;"",""&amp;DATA_KO!E114,"")</f>
        <v/>
      </c>
      <c r="H123" s="275">
        <f>IF(A123&lt;&gt;"","➔ Trace Lineage","")</f>
        <v/>
      </c>
    </row>
    <row r="124" ht="15.75" customHeight="1" s="132">
      <c r="A124" s="273">
        <f>IF(DATA_KO!A115&lt;&gt;"",""&amp;DATA_KO!A115,"")</f>
        <v/>
      </c>
      <c r="B124" s="273">
        <f>IF(A124&lt;&gt;"","KO","")</f>
        <v/>
      </c>
      <c r="C124" s="273">
        <f>IF(A124&lt;&gt;"",""&amp;DATA_KO!B115,"")</f>
        <v/>
      </c>
      <c r="D124" s="273">
        <f>IF(A124&lt;&gt;"",""&amp;DATA_KO!C115,"")</f>
        <v/>
      </c>
      <c r="E124" s="274">
        <f>IF(A124&lt;&gt;"",DATA_KO!G115,"")</f>
        <v/>
      </c>
      <c r="F124" s="273">
        <f>IF(A124&lt;&gt;"",""&amp;DATA_KO!H115,"")</f>
        <v/>
      </c>
      <c r="G124" s="273">
        <f>IF(A124&lt;&gt;"",""&amp;DATA_KO!E115,"")</f>
        <v/>
      </c>
      <c r="H124" s="275">
        <f>IF(A124&lt;&gt;"","➔ Trace Lineage","")</f>
        <v/>
      </c>
    </row>
    <row r="125" ht="15.75" customHeight="1" s="132">
      <c r="A125" s="273">
        <f>IF(DATA_KO!A116&lt;&gt;"",""&amp;DATA_KO!A116,"")</f>
        <v/>
      </c>
      <c r="B125" s="273">
        <f>IF(A125&lt;&gt;"","KO","")</f>
        <v/>
      </c>
      <c r="C125" s="273">
        <f>IF(A125&lt;&gt;"",""&amp;DATA_KO!B116,"")</f>
        <v/>
      </c>
      <c r="D125" s="273">
        <f>IF(A125&lt;&gt;"",""&amp;DATA_KO!C116,"")</f>
        <v/>
      </c>
      <c r="E125" s="274">
        <f>IF(A125&lt;&gt;"",DATA_KO!G116,"")</f>
        <v/>
      </c>
      <c r="F125" s="273">
        <f>IF(A125&lt;&gt;"",""&amp;DATA_KO!H116,"")</f>
        <v/>
      </c>
      <c r="G125" s="273">
        <f>IF(A125&lt;&gt;"",""&amp;DATA_KO!E116,"")</f>
        <v/>
      </c>
      <c r="H125" s="275">
        <f>IF(A125&lt;&gt;"","➔ Trace Lineage","")</f>
        <v/>
      </c>
    </row>
    <row r="126" ht="15.75" customHeight="1" s="132">
      <c r="A126" s="273">
        <f>IF(DATA_KO!A117&lt;&gt;"",""&amp;DATA_KO!A117,"")</f>
        <v/>
      </c>
      <c r="B126" s="273">
        <f>IF(A126&lt;&gt;"","KO","")</f>
        <v/>
      </c>
      <c r="C126" s="273">
        <f>IF(A126&lt;&gt;"",""&amp;DATA_KO!B117,"")</f>
        <v/>
      </c>
      <c r="D126" s="273">
        <f>IF(A126&lt;&gt;"",""&amp;DATA_KO!C117,"")</f>
        <v/>
      </c>
      <c r="E126" s="274">
        <f>IF(A126&lt;&gt;"",DATA_KO!G117,"")</f>
        <v/>
      </c>
      <c r="F126" s="273">
        <f>IF(A126&lt;&gt;"",""&amp;DATA_KO!H117,"")</f>
        <v/>
      </c>
      <c r="G126" s="273">
        <f>IF(A126&lt;&gt;"",""&amp;DATA_KO!E117,"")</f>
        <v/>
      </c>
      <c r="H126" s="275">
        <f>IF(A126&lt;&gt;"","➔ Trace Lineage","")</f>
        <v/>
      </c>
    </row>
    <row r="127" ht="15.75" customHeight="1" s="132">
      <c r="A127" s="273">
        <f>IF(DATA_KO!A118&lt;&gt;"",""&amp;DATA_KO!A118,"")</f>
        <v/>
      </c>
      <c r="B127" s="273">
        <f>IF(A127&lt;&gt;"","KO","")</f>
        <v/>
      </c>
      <c r="C127" s="273">
        <f>IF(A127&lt;&gt;"",""&amp;DATA_KO!B118,"")</f>
        <v/>
      </c>
      <c r="D127" s="273">
        <f>IF(A127&lt;&gt;"",""&amp;DATA_KO!C118,"")</f>
        <v/>
      </c>
      <c r="E127" s="274">
        <f>IF(A127&lt;&gt;"",DATA_KO!G118,"")</f>
        <v/>
      </c>
      <c r="F127" s="273">
        <f>IF(A127&lt;&gt;"",""&amp;DATA_KO!H118,"")</f>
        <v/>
      </c>
      <c r="G127" s="273">
        <f>IF(A127&lt;&gt;"",""&amp;DATA_KO!E118,"")</f>
        <v/>
      </c>
      <c r="H127" s="275">
        <f>IF(A127&lt;&gt;"","➔ Trace Lineage","")</f>
        <v/>
      </c>
    </row>
    <row r="128" ht="15.75" customHeight="1" s="132">
      <c r="A128" s="273">
        <f>IF(DATA_KO!A119&lt;&gt;"",""&amp;DATA_KO!A119,"")</f>
        <v/>
      </c>
      <c r="B128" s="273">
        <f>IF(A128&lt;&gt;"","KO","")</f>
        <v/>
      </c>
      <c r="C128" s="273">
        <f>IF(A128&lt;&gt;"",""&amp;DATA_KO!B119,"")</f>
        <v/>
      </c>
      <c r="D128" s="273">
        <f>IF(A128&lt;&gt;"",""&amp;DATA_KO!C119,"")</f>
        <v/>
      </c>
      <c r="E128" s="274">
        <f>IF(A128&lt;&gt;"",DATA_KO!G119,"")</f>
        <v/>
      </c>
      <c r="F128" s="273">
        <f>IF(A128&lt;&gt;"",""&amp;DATA_KO!H119,"")</f>
        <v/>
      </c>
      <c r="G128" s="273">
        <f>IF(A128&lt;&gt;"",""&amp;DATA_KO!E119,"")</f>
        <v/>
      </c>
      <c r="H128" s="275">
        <f>IF(A128&lt;&gt;"","➔ Trace Lineage","")</f>
        <v/>
      </c>
    </row>
    <row r="129" ht="15.75" customHeight="1" s="132">
      <c r="A129" s="273">
        <f>IF(DATA_KO!A120&lt;&gt;"",""&amp;DATA_KO!A120,"")</f>
        <v/>
      </c>
      <c r="B129" s="273">
        <f>IF(A129&lt;&gt;"","KO","")</f>
        <v/>
      </c>
      <c r="C129" s="273">
        <f>IF(A129&lt;&gt;"",""&amp;DATA_KO!B120,"")</f>
        <v/>
      </c>
      <c r="D129" s="273">
        <f>IF(A129&lt;&gt;"",""&amp;DATA_KO!C120,"")</f>
        <v/>
      </c>
      <c r="E129" s="274">
        <f>IF(A129&lt;&gt;"",DATA_KO!G120,"")</f>
        <v/>
      </c>
      <c r="F129" s="273">
        <f>IF(A129&lt;&gt;"",""&amp;DATA_KO!H120,"")</f>
        <v/>
      </c>
      <c r="G129" s="273">
        <f>IF(A129&lt;&gt;"",""&amp;DATA_KO!E120,"")</f>
        <v/>
      </c>
      <c r="H129" s="275">
        <f>IF(A129&lt;&gt;"","➔ Trace Lineage","")</f>
        <v/>
      </c>
    </row>
    <row r="130" ht="15.75" customHeight="1" s="132">
      <c r="A130" s="273">
        <f>IF(DATA_KO!A121&lt;&gt;"",""&amp;DATA_KO!A121,"")</f>
        <v/>
      </c>
      <c r="B130" s="273">
        <f>IF(A130&lt;&gt;"","KO","")</f>
        <v/>
      </c>
      <c r="C130" s="273">
        <f>IF(A130&lt;&gt;"",""&amp;DATA_KO!B121,"")</f>
        <v/>
      </c>
      <c r="D130" s="273">
        <f>IF(A130&lt;&gt;"",""&amp;DATA_KO!C121,"")</f>
        <v/>
      </c>
      <c r="E130" s="274">
        <f>IF(A130&lt;&gt;"",DATA_KO!G121,"")</f>
        <v/>
      </c>
      <c r="F130" s="273">
        <f>IF(A130&lt;&gt;"",""&amp;DATA_KO!H121,"")</f>
        <v/>
      </c>
      <c r="G130" s="273">
        <f>IF(A130&lt;&gt;"",""&amp;DATA_KO!E121,"")</f>
        <v/>
      </c>
      <c r="H130" s="275">
        <f>IF(A130&lt;&gt;"","➔ Trace Lineage","")</f>
        <v/>
      </c>
    </row>
    <row r="131" ht="15.75" customHeight="1" s="132">
      <c r="A131" s="273">
        <f>IF(DATA_KO!A122&lt;&gt;"",""&amp;DATA_KO!A122,"")</f>
        <v/>
      </c>
      <c r="B131" s="273">
        <f>IF(A131&lt;&gt;"","KO","")</f>
        <v/>
      </c>
      <c r="C131" s="273">
        <f>IF(A131&lt;&gt;"",""&amp;DATA_KO!B122,"")</f>
        <v/>
      </c>
      <c r="D131" s="273">
        <f>IF(A131&lt;&gt;"",""&amp;DATA_KO!C122,"")</f>
        <v/>
      </c>
      <c r="E131" s="274">
        <f>IF(A131&lt;&gt;"",DATA_KO!G122,"")</f>
        <v/>
      </c>
      <c r="F131" s="273">
        <f>IF(A131&lt;&gt;"",""&amp;DATA_KO!H122,"")</f>
        <v/>
      </c>
      <c r="G131" s="273">
        <f>IF(A131&lt;&gt;"",""&amp;DATA_KO!E122,"")</f>
        <v/>
      </c>
      <c r="H131" s="275">
        <f>IF(A131&lt;&gt;"","➔ Trace Lineage","")</f>
        <v/>
      </c>
    </row>
    <row r="132" ht="15.75" customHeight="1" s="132">
      <c r="A132" s="273">
        <f>IF(DATA_KO!A123&lt;&gt;"",""&amp;DATA_KO!A123,"")</f>
        <v/>
      </c>
      <c r="B132" s="273">
        <f>IF(A132&lt;&gt;"","KO","")</f>
        <v/>
      </c>
      <c r="C132" s="273">
        <f>IF(A132&lt;&gt;"",""&amp;DATA_KO!B123,"")</f>
        <v/>
      </c>
      <c r="D132" s="273">
        <f>IF(A132&lt;&gt;"",""&amp;DATA_KO!C123,"")</f>
        <v/>
      </c>
      <c r="E132" s="274">
        <f>IF(A132&lt;&gt;"",DATA_KO!G123,"")</f>
        <v/>
      </c>
      <c r="F132" s="273">
        <f>IF(A132&lt;&gt;"",""&amp;DATA_KO!H123,"")</f>
        <v/>
      </c>
      <c r="G132" s="273">
        <f>IF(A132&lt;&gt;"",""&amp;DATA_KO!E123,"")</f>
        <v/>
      </c>
      <c r="H132" s="275">
        <f>IF(A132&lt;&gt;"","➔ Trace Lineage","")</f>
        <v/>
      </c>
    </row>
    <row r="133" ht="15.75" customHeight="1" s="132">
      <c r="A133" s="273">
        <f>IF(DATA_KO!A124&lt;&gt;"",""&amp;DATA_KO!A124,"")</f>
        <v/>
      </c>
      <c r="B133" s="273">
        <f>IF(A133&lt;&gt;"","KO","")</f>
        <v/>
      </c>
      <c r="C133" s="273">
        <f>IF(A133&lt;&gt;"",""&amp;DATA_KO!B124,"")</f>
        <v/>
      </c>
      <c r="D133" s="273">
        <f>IF(A133&lt;&gt;"",""&amp;DATA_KO!C124,"")</f>
        <v/>
      </c>
      <c r="E133" s="274">
        <f>IF(A133&lt;&gt;"",DATA_KO!G124,"")</f>
        <v/>
      </c>
      <c r="F133" s="273">
        <f>IF(A133&lt;&gt;"",""&amp;DATA_KO!H124,"")</f>
        <v/>
      </c>
      <c r="G133" s="273">
        <f>IF(A133&lt;&gt;"",""&amp;DATA_KO!E124,"")</f>
        <v/>
      </c>
      <c r="H133" s="275">
        <f>IF(A133&lt;&gt;"","➔ Trace Lineage","")</f>
        <v/>
      </c>
    </row>
    <row r="134" ht="15.75" customHeight="1" s="132">
      <c r="A134" s="273">
        <f>IF(DATA_KO!A125&lt;&gt;"",""&amp;DATA_KO!A125,"")</f>
        <v/>
      </c>
      <c r="B134" s="273">
        <f>IF(A134&lt;&gt;"","KO","")</f>
        <v/>
      </c>
      <c r="C134" s="273">
        <f>IF(A134&lt;&gt;"",""&amp;DATA_KO!B125,"")</f>
        <v/>
      </c>
      <c r="D134" s="273">
        <f>IF(A134&lt;&gt;"",""&amp;DATA_KO!C125,"")</f>
        <v/>
      </c>
      <c r="E134" s="274">
        <f>IF(A134&lt;&gt;"",DATA_KO!G125,"")</f>
        <v/>
      </c>
      <c r="F134" s="273">
        <f>IF(A134&lt;&gt;"",""&amp;DATA_KO!H125,"")</f>
        <v/>
      </c>
      <c r="G134" s="273">
        <f>IF(A134&lt;&gt;"",""&amp;DATA_KO!E125,"")</f>
        <v/>
      </c>
      <c r="H134" s="275">
        <f>IF(A134&lt;&gt;"","➔ Trace Lineage","")</f>
        <v/>
      </c>
    </row>
    <row r="135" ht="15.75" customHeight="1" s="132">
      <c r="A135" s="273">
        <f>IF(DATA_KO!A126&lt;&gt;"",""&amp;DATA_KO!A126,"")</f>
        <v/>
      </c>
      <c r="B135" s="273">
        <f>IF(A135&lt;&gt;"","KO","")</f>
        <v/>
      </c>
      <c r="C135" s="273">
        <f>IF(A135&lt;&gt;"",""&amp;DATA_KO!B126,"")</f>
        <v/>
      </c>
      <c r="D135" s="273">
        <f>IF(A135&lt;&gt;"",""&amp;DATA_KO!C126,"")</f>
        <v/>
      </c>
      <c r="E135" s="274">
        <f>IF(A135&lt;&gt;"",DATA_KO!G126,"")</f>
        <v/>
      </c>
      <c r="F135" s="273">
        <f>IF(A135&lt;&gt;"",""&amp;DATA_KO!H126,"")</f>
        <v/>
      </c>
      <c r="G135" s="273">
        <f>IF(A135&lt;&gt;"",""&amp;DATA_KO!E126,"")</f>
        <v/>
      </c>
      <c r="H135" s="275">
        <f>IF(A135&lt;&gt;"","➔ Trace Lineage","")</f>
        <v/>
      </c>
    </row>
    <row r="136" ht="15.75" customHeight="1" s="132">
      <c r="A136" s="273">
        <f>IF(DATA_KO!A127&lt;&gt;"",""&amp;DATA_KO!A127,"")</f>
        <v/>
      </c>
      <c r="B136" s="273">
        <f>IF(A136&lt;&gt;"","KO","")</f>
        <v/>
      </c>
      <c r="C136" s="273">
        <f>IF(A136&lt;&gt;"",""&amp;DATA_KO!B127,"")</f>
        <v/>
      </c>
      <c r="D136" s="273">
        <f>IF(A136&lt;&gt;"",""&amp;DATA_KO!C127,"")</f>
        <v/>
      </c>
      <c r="E136" s="274">
        <f>IF(A136&lt;&gt;"",DATA_KO!G127,"")</f>
        <v/>
      </c>
      <c r="F136" s="273">
        <f>IF(A136&lt;&gt;"",""&amp;DATA_KO!H127,"")</f>
        <v/>
      </c>
      <c r="G136" s="273">
        <f>IF(A136&lt;&gt;"",""&amp;DATA_KO!E127,"")</f>
        <v/>
      </c>
      <c r="H136" s="275">
        <f>IF(A136&lt;&gt;"","➔ Trace Lineage","")</f>
        <v/>
      </c>
    </row>
    <row r="137" ht="15.75" customHeight="1" s="132">
      <c r="A137" s="273">
        <f>IF(DATA_KO!A128&lt;&gt;"",""&amp;DATA_KO!A128,"")</f>
        <v/>
      </c>
      <c r="B137" s="273">
        <f>IF(A137&lt;&gt;"","KO","")</f>
        <v/>
      </c>
      <c r="C137" s="273">
        <f>IF(A137&lt;&gt;"",""&amp;DATA_KO!B128,"")</f>
        <v/>
      </c>
      <c r="D137" s="273">
        <f>IF(A137&lt;&gt;"",""&amp;DATA_KO!C128,"")</f>
        <v/>
      </c>
      <c r="E137" s="274">
        <f>IF(A137&lt;&gt;"",DATA_KO!G128,"")</f>
        <v/>
      </c>
      <c r="F137" s="273">
        <f>IF(A137&lt;&gt;"",""&amp;DATA_KO!H128,"")</f>
        <v/>
      </c>
      <c r="G137" s="273">
        <f>IF(A137&lt;&gt;"",""&amp;DATA_KO!E128,"")</f>
        <v/>
      </c>
      <c r="H137" s="275">
        <f>IF(A137&lt;&gt;"","➔ Trace Lineage","")</f>
        <v/>
      </c>
    </row>
    <row r="138" ht="15.75" customHeight="1" s="132">
      <c r="A138" s="273">
        <f>IF(DATA_KO!A129&lt;&gt;"",""&amp;DATA_KO!A129,"")</f>
        <v/>
      </c>
      <c r="B138" s="273">
        <f>IF(A138&lt;&gt;"","KO","")</f>
        <v/>
      </c>
      <c r="C138" s="273">
        <f>IF(A138&lt;&gt;"",""&amp;DATA_KO!B129,"")</f>
        <v/>
      </c>
      <c r="D138" s="273">
        <f>IF(A138&lt;&gt;"",""&amp;DATA_KO!C129,"")</f>
        <v/>
      </c>
      <c r="E138" s="274">
        <f>IF(A138&lt;&gt;"",DATA_KO!G129,"")</f>
        <v/>
      </c>
      <c r="F138" s="273">
        <f>IF(A138&lt;&gt;"",""&amp;DATA_KO!H129,"")</f>
        <v/>
      </c>
      <c r="G138" s="273">
        <f>IF(A138&lt;&gt;"",""&amp;DATA_KO!E129,"")</f>
        <v/>
      </c>
      <c r="H138" s="275">
        <f>IF(A138&lt;&gt;"","➔ Trace Lineage","")</f>
        <v/>
      </c>
    </row>
    <row r="139" ht="15.75" customHeight="1" s="132">
      <c r="A139" s="273">
        <f>IF(DATA_KO!A130&lt;&gt;"",""&amp;DATA_KO!A130,"")</f>
        <v/>
      </c>
      <c r="B139" s="273">
        <f>IF(A139&lt;&gt;"","KO","")</f>
        <v/>
      </c>
      <c r="C139" s="273">
        <f>IF(A139&lt;&gt;"",""&amp;DATA_KO!B130,"")</f>
        <v/>
      </c>
      <c r="D139" s="273">
        <f>IF(A139&lt;&gt;"",""&amp;DATA_KO!C130,"")</f>
        <v/>
      </c>
      <c r="E139" s="274">
        <f>IF(A139&lt;&gt;"",DATA_KO!G130,"")</f>
        <v/>
      </c>
      <c r="F139" s="273">
        <f>IF(A139&lt;&gt;"",""&amp;DATA_KO!H130,"")</f>
        <v/>
      </c>
      <c r="G139" s="273">
        <f>IF(A139&lt;&gt;"",""&amp;DATA_KO!E130,"")</f>
        <v/>
      </c>
      <c r="H139" s="275">
        <f>IF(A139&lt;&gt;"","➔ Trace Lineage","")</f>
        <v/>
      </c>
    </row>
    <row r="140" ht="15.75" customHeight="1" s="132">
      <c r="A140" s="273">
        <f>IF(DATA_KO!A131&lt;&gt;"",""&amp;DATA_KO!A131,"")</f>
        <v/>
      </c>
      <c r="B140" s="273">
        <f>IF(A140&lt;&gt;"","KO","")</f>
        <v/>
      </c>
      <c r="C140" s="273">
        <f>IF(A140&lt;&gt;"",""&amp;DATA_KO!B131,"")</f>
        <v/>
      </c>
      <c r="D140" s="273">
        <f>IF(A140&lt;&gt;"",""&amp;DATA_KO!C131,"")</f>
        <v/>
      </c>
      <c r="E140" s="274">
        <f>IF(A140&lt;&gt;"",DATA_KO!G131,"")</f>
        <v/>
      </c>
      <c r="F140" s="273">
        <f>IF(A140&lt;&gt;"",""&amp;DATA_KO!H131,"")</f>
        <v/>
      </c>
      <c r="G140" s="273">
        <f>IF(A140&lt;&gt;"",""&amp;DATA_KO!E131,"")</f>
        <v/>
      </c>
      <c r="H140" s="275">
        <f>IF(A140&lt;&gt;"","➔ Trace Lineage","")</f>
        <v/>
      </c>
    </row>
    <row r="141" ht="15.75" customHeight="1" s="132">
      <c r="A141" s="273">
        <f>IF(DATA_KO!A132&lt;&gt;"",""&amp;DATA_KO!A132,"")</f>
        <v/>
      </c>
      <c r="B141" s="273">
        <f>IF(A141&lt;&gt;"","KO","")</f>
        <v/>
      </c>
      <c r="C141" s="273">
        <f>IF(A141&lt;&gt;"",""&amp;DATA_KO!B132,"")</f>
        <v/>
      </c>
      <c r="D141" s="273">
        <f>IF(A141&lt;&gt;"",""&amp;DATA_KO!C132,"")</f>
        <v/>
      </c>
      <c r="E141" s="274">
        <f>IF(A141&lt;&gt;"",DATA_KO!G132,"")</f>
        <v/>
      </c>
      <c r="F141" s="273">
        <f>IF(A141&lt;&gt;"",""&amp;DATA_KO!H132,"")</f>
        <v/>
      </c>
      <c r="G141" s="273">
        <f>IF(A141&lt;&gt;"",""&amp;DATA_KO!E132,"")</f>
        <v/>
      </c>
      <c r="H141" s="275">
        <f>IF(A141&lt;&gt;"","➔ Trace Lineage","")</f>
        <v/>
      </c>
    </row>
    <row r="142" ht="15.75" customHeight="1" s="132">
      <c r="A142" s="273">
        <f>IF(DATA_KO!A133&lt;&gt;"",""&amp;DATA_KO!A133,"")</f>
        <v/>
      </c>
      <c r="B142" s="273">
        <f>IF(A142&lt;&gt;"","KO","")</f>
        <v/>
      </c>
      <c r="C142" s="273">
        <f>IF(A142&lt;&gt;"",""&amp;DATA_KO!B133,"")</f>
        <v/>
      </c>
      <c r="D142" s="273">
        <f>IF(A142&lt;&gt;"",""&amp;DATA_KO!C133,"")</f>
        <v/>
      </c>
      <c r="E142" s="274">
        <f>IF(A142&lt;&gt;"",DATA_KO!G133,"")</f>
        <v/>
      </c>
      <c r="F142" s="273">
        <f>IF(A142&lt;&gt;"",""&amp;DATA_KO!H133,"")</f>
        <v/>
      </c>
      <c r="G142" s="273">
        <f>IF(A142&lt;&gt;"",""&amp;DATA_KO!E133,"")</f>
        <v/>
      </c>
      <c r="H142" s="275">
        <f>IF(A142&lt;&gt;"","➔ Trace Lineage","")</f>
        <v/>
      </c>
    </row>
    <row r="143" ht="15.75" customHeight="1" s="132">
      <c r="A143" s="273">
        <f>IF(DATA_KO!A134&lt;&gt;"",""&amp;DATA_KO!A134,"")</f>
        <v/>
      </c>
      <c r="B143" s="273">
        <f>IF(A143&lt;&gt;"","KO","")</f>
        <v/>
      </c>
      <c r="C143" s="273">
        <f>IF(A143&lt;&gt;"",""&amp;DATA_KO!B134,"")</f>
        <v/>
      </c>
      <c r="D143" s="273">
        <f>IF(A143&lt;&gt;"",""&amp;DATA_KO!C134,"")</f>
        <v/>
      </c>
      <c r="E143" s="274">
        <f>IF(A143&lt;&gt;"",DATA_KO!G134,"")</f>
        <v/>
      </c>
      <c r="F143" s="273">
        <f>IF(A143&lt;&gt;"",""&amp;DATA_KO!H134,"")</f>
        <v/>
      </c>
      <c r="G143" s="273">
        <f>IF(A143&lt;&gt;"",""&amp;DATA_KO!E134,"")</f>
        <v/>
      </c>
      <c r="H143" s="275">
        <f>IF(A143&lt;&gt;"","➔ Trace Lineage","")</f>
        <v/>
      </c>
    </row>
    <row r="144" ht="15.75" customHeight="1" s="132">
      <c r="A144" s="273">
        <f>IF(DATA_KO!A135&lt;&gt;"",""&amp;DATA_KO!A135,"")</f>
        <v/>
      </c>
      <c r="B144" s="273">
        <f>IF(A144&lt;&gt;"","KO","")</f>
        <v/>
      </c>
      <c r="C144" s="273">
        <f>IF(A144&lt;&gt;"",""&amp;DATA_KO!B135,"")</f>
        <v/>
      </c>
      <c r="D144" s="273">
        <f>IF(A144&lt;&gt;"",""&amp;DATA_KO!C135,"")</f>
        <v/>
      </c>
      <c r="E144" s="274">
        <f>IF(A144&lt;&gt;"",DATA_KO!G135,"")</f>
        <v/>
      </c>
      <c r="F144" s="273">
        <f>IF(A144&lt;&gt;"",""&amp;DATA_KO!H135,"")</f>
        <v/>
      </c>
      <c r="G144" s="273">
        <f>IF(A144&lt;&gt;"",""&amp;DATA_KO!E135,"")</f>
        <v/>
      </c>
      <c r="H144" s="275">
        <f>IF(A144&lt;&gt;"","➔ Trace Lineage","")</f>
        <v/>
      </c>
    </row>
    <row r="145" ht="15.75" customHeight="1" s="132">
      <c r="A145" s="273">
        <f>IF(DATA_KO!A136&lt;&gt;"",""&amp;DATA_KO!A136,"")</f>
        <v/>
      </c>
      <c r="B145" s="273">
        <f>IF(A145&lt;&gt;"","KO","")</f>
        <v/>
      </c>
      <c r="C145" s="273">
        <f>IF(A145&lt;&gt;"",""&amp;DATA_KO!B136,"")</f>
        <v/>
      </c>
      <c r="D145" s="273">
        <f>IF(A145&lt;&gt;"",""&amp;DATA_KO!C136,"")</f>
        <v/>
      </c>
      <c r="E145" s="274">
        <f>IF(A145&lt;&gt;"",DATA_KO!G136,"")</f>
        <v/>
      </c>
      <c r="F145" s="273">
        <f>IF(A145&lt;&gt;"",""&amp;DATA_KO!H136,"")</f>
        <v/>
      </c>
      <c r="G145" s="273">
        <f>IF(A145&lt;&gt;"",""&amp;DATA_KO!E136,"")</f>
        <v/>
      </c>
      <c r="H145" s="275">
        <f>IF(A145&lt;&gt;"","➔ Trace Lineage","")</f>
        <v/>
      </c>
    </row>
    <row r="146" ht="15.75" customHeight="1" s="132">
      <c r="A146" s="273">
        <f>IF(DATA_KO!A137&lt;&gt;"",""&amp;DATA_KO!A137,"")</f>
        <v/>
      </c>
      <c r="B146" s="273">
        <f>IF(A146&lt;&gt;"","KO","")</f>
        <v/>
      </c>
      <c r="C146" s="273">
        <f>IF(A146&lt;&gt;"",""&amp;DATA_KO!B137,"")</f>
        <v/>
      </c>
      <c r="D146" s="273">
        <f>IF(A146&lt;&gt;"",""&amp;DATA_KO!C137,"")</f>
        <v/>
      </c>
      <c r="E146" s="274">
        <f>IF(A146&lt;&gt;"",DATA_KO!G137,"")</f>
        <v/>
      </c>
      <c r="F146" s="273">
        <f>IF(A146&lt;&gt;"",""&amp;DATA_KO!H137,"")</f>
        <v/>
      </c>
      <c r="G146" s="273">
        <f>IF(A146&lt;&gt;"",""&amp;DATA_KO!E137,"")</f>
        <v/>
      </c>
      <c r="H146" s="275">
        <f>IF(A146&lt;&gt;"","➔ Trace Lineage","")</f>
        <v/>
      </c>
    </row>
    <row r="147" ht="15.75" customHeight="1" s="132">
      <c r="A147" s="273">
        <f>IF(DATA_KO!A138&lt;&gt;"",""&amp;DATA_KO!A138,"")</f>
        <v/>
      </c>
      <c r="B147" s="273">
        <f>IF(A147&lt;&gt;"","KO","")</f>
        <v/>
      </c>
      <c r="C147" s="273">
        <f>IF(A147&lt;&gt;"",""&amp;DATA_KO!B138,"")</f>
        <v/>
      </c>
      <c r="D147" s="273">
        <f>IF(A147&lt;&gt;"",""&amp;DATA_KO!C138,"")</f>
        <v/>
      </c>
      <c r="E147" s="274">
        <f>IF(A147&lt;&gt;"",DATA_KO!G138,"")</f>
        <v/>
      </c>
      <c r="F147" s="273">
        <f>IF(A147&lt;&gt;"",""&amp;DATA_KO!H138,"")</f>
        <v/>
      </c>
      <c r="G147" s="273">
        <f>IF(A147&lt;&gt;"",""&amp;DATA_KO!E138,"")</f>
        <v/>
      </c>
      <c r="H147" s="275">
        <f>IF(A147&lt;&gt;"","➔ Trace Lineage","")</f>
        <v/>
      </c>
    </row>
    <row r="148" ht="15.75" customHeight="1" s="132">
      <c r="A148" s="273">
        <f>IF(DATA_KO!A139&lt;&gt;"",""&amp;DATA_KO!A139,"")</f>
        <v/>
      </c>
      <c r="B148" s="273">
        <f>IF(A148&lt;&gt;"","KO","")</f>
        <v/>
      </c>
      <c r="C148" s="273">
        <f>IF(A148&lt;&gt;"",""&amp;DATA_KO!B139,"")</f>
        <v/>
      </c>
      <c r="D148" s="273">
        <f>IF(A148&lt;&gt;"",""&amp;DATA_KO!C139,"")</f>
        <v/>
      </c>
      <c r="E148" s="274">
        <f>IF(A148&lt;&gt;"",DATA_KO!G139,"")</f>
        <v/>
      </c>
      <c r="F148" s="273">
        <f>IF(A148&lt;&gt;"",""&amp;DATA_KO!H139,"")</f>
        <v/>
      </c>
      <c r="G148" s="273">
        <f>IF(A148&lt;&gt;"",""&amp;DATA_KO!E139,"")</f>
        <v/>
      </c>
      <c r="H148" s="275">
        <f>IF(A148&lt;&gt;"","➔ Trace Lineage","")</f>
        <v/>
      </c>
    </row>
    <row r="149" ht="15.75" customHeight="1" s="132">
      <c r="A149" s="273">
        <f>IF(DATA_KO!A140&lt;&gt;"",""&amp;DATA_KO!A140,"")</f>
        <v/>
      </c>
      <c r="B149" s="273">
        <f>IF(A149&lt;&gt;"","KO","")</f>
        <v/>
      </c>
      <c r="C149" s="273">
        <f>IF(A149&lt;&gt;"",""&amp;DATA_KO!B140,"")</f>
        <v/>
      </c>
      <c r="D149" s="273">
        <f>IF(A149&lt;&gt;"",""&amp;DATA_KO!C140,"")</f>
        <v/>
      </c>
      <c r="E149" s="274">
        <f>IF(A149&lt;&gt;"",DATA_KO!G140,"")</f>
        <v/>
      </c>
      <c r="F149" s="273">
        <f>IF(A149&lt;&gt;"",""&amp;DATA_KO!H140,"")</f>
        <v/>
      </c>
      <c r="G149" s="273">
        <f>IF(A149&lt;&gt;"",""&amp;DATA_KO!E140,"")</f>
        <v/>
      </c>
      <c r="H149" s="275">
        <f>IF(A149&lt;&gt;"","➔ Trace Lineage","")</f>
        <v/>
      </c>
    </row>
    <row r="150" ht="15.75" customHeight="1" s="132">
      <c r="A150" s="273">
        <f>IF(DATA_KO!A141&lt;&gt;"",""&amp;DATA_KO!A141,"")</f>
        <v/>
      </c>
      <c r="B150" s="273">
        <f>IF(A150&lt;&gt;"","KO","")</f>
        <v/>
      </c>
      <c r="C150" s="273">
        <f>IF(A150&lt;&gt;"",""&amp;DATA_KO!B141,"")</f>
        <v/>
      </c>
      <c r="D150" s="273">
        <f>IF(A150&lt;&gt;"",""&amp;DATA_KO!C141,"")</f>
        <v/>
      </c>
      <c r="E150" s="274">
        <f>IF(A150&lt;&gt;"",DATA_KO!G141,"")</f>
        <v/>
      </c>
      <c r="F150" s="273">
        <f>IF(A150&lt;&gt;"",""&amp;DATA_KO!H141,"")</f>
        <v/>
      </c>
      <c r="G150" s="273">
        <f>IF(A150&lt;&gt;"",""&amp;DATA_KO!E141,"")</f>
        <v/>
      </c>
      <c r="H150" s="275">
        <f>IF(A150&lt;&gt;"","➔ Trace Lineage","")</f>
        <v/>
      </c>
    </row>
    <row r="151" ht="15.75" customHeight="1" s="132">
      <c r="A151" s="273">
        <f>IF(DATA_KO!A142&lt;&gt;"",""&amp;DATA_KO!A142,"")</f>
        <v/>
      </c>
      <c r="B151" s="273">
        <f>IF(A151&lt;&gt;"","KO","")</f>
        <v/>
      </c>
      <c r="C151" s="273">
        <f>IF(A151&lt;&gt;"",""&amp;DATA_KO!B142,"")</f>
        <v/>
      </c>
      <c r="D151" s="273">
        <f>IF(A151&lt;&gt;"",""&amp;DATA_KO!C142,"")</f>
        <v/>
      </c>
      <c r="E151" s="274">
        <f>IF(A151&lt;&gt;"",DATA_KO!G142,"")</f>
        <v/>
      </c>
      <c r="F151" s="273">
        <f>IF(A151&lt;&gt;"",""&amp;DATA_KO!H142,"")</f>
        <v/>
      </c>
      <c r="G151" s="273">
        <f>IF(A151&lt;&gt;"",""&amp;DATA_KO!E142,"")</f>
        <v/>
      </c>
      <c r="H151" s="275">
        <f>IF(A151&lt;&gt;"","➔ Trace Lineage","")</f>
        <v/>
      </c>
    </row>
    <row r="152" ht="15.75" customHeight="1" s="132">
      <c r="A152" s="273">
        <f>IF(DATA_KO!A143&lt;&gt;"",""&amp;DATA_KO!A143,"")</f>
        <v/>
      </c>
      <c r="B152" s="273">
        <f>IF(A152&lt;&gt;"","KO","")</f>
        <v/>
      </c>
      <c r="C152" s="273">
        <f>IF(A152&lt;&gt;"",""&amp;DATA_KO!B143,"")</f>
        <v/>
      </c>
      <c r="D152" s="273">
        <f>IF(A152&lt;&gt;"",""&amp;DATA_KO!C143,"")</f>
        <v/>
      </c>
      <c r="E152" s="274">
        <f>IF(A152&lt;&gt;"",DATA_KO!G143,"")</f>
        <v/>
      </c>
      <c r="F152" s="273">
        <f>IF(A152&lt;&gt;"",""&amp;DATA_KO!H143,"")</f>
        <v/>
      </c>
      <c r="G152" s="273">
        <f>IF(A152&lt;&gt;"",""&amp;DATA_KO!E143,"")</f>
        <v/>
      </c>
      <c r="H152" s="275">
        <f>IF(A152&lt;&gt;"","➔ Trace Lineage","")</f>
        <v/>
      </c>
    </row>
    <row r="153" ht="15.75" customHeight="1" s="132">
      <c r="A153" s="273">
        <f>IF(DATA_KO!A144&lt;&gt;"",""&amp;DATA_KO!A144,"")</f>
        <v/>
      </c>
      <c r="B153" s="273">
        <f>IF(A153&lt;&gt;"","KO","")</f>
        <v/>
      </c>
      <c r="C153" s="273">
        <f>IF(A153&lt;&gt;"",""&amp;DATA_KO!B144,"")</f>
        <v/>
      </c>
      <c r="D153" s="273">
        <f>IF(A153&lt;&gt;"",""&amp;DATA_KO!C144,"")</f>
        <v/>
      </c>
      <c r="E153" s="274">
        <f>IF(A153&lt;&gt;"",DATA_KO!G144,"")</f>
        <v/>
      </c>
      <c r="F153" s="273">
        <f>IF(A153&lt;&gt;"",""&amp;DATA_KO!H144,"")</f>
        <v/>
      </c>
      <c r="G153" s="273">
        <f>IF(A153&lt;&gt;"",""&amp;DATA_KO!E144,"")</f>
        <v/>
      </c>
      <c r="H153" s="275">
        <f>IF(A153&lt;&gt;"","➔ Trace Lineage","")</f>
        <v/>
      </c>
    </row>
    <row r="154" ht="15.75" customHeight="1" s="132">
      <c r="A154" s="273">
        <f>IF(DATA_KO!A145&lt;&gt;"",""&amp;DATA_KO!A145,"")</f>
        <v/>
      </c>
      <c r="B154" s="273">
        <f>IF(A154&lt;&gt;"","KO","")</f>
        <v/>
      </c>
      <c r="C154" s="273">
        <f>IF(A154&lt;&gt;"",""&amp;DATA_KO!B145,"")</f>
        <v/>
      </c>
      <c r="D154" s="273">
        <f>IF(A154&lt;&gt;"",""&amp;DATA_KO!C145,"")</f>
        <v/>
      </c>
      <c r="E154" s="274">
        <f>IF(A154&lt;&gt;"",DATA_KO!G145,"")</f>
        <v/>
      </c>
      <c r="F154" s="273">
        <f>IF(A154&lt;&gt;"",""&amp;DATA_KO!H145,"")</f>
        <v/>
      </c>
      <c r="G154" s="273">
        <f>IF(A154&lt;&gt;"",""&amp;DATA_KO!E145,"")</f>
        <v/>
      </c>
      <c r="H154" s="275">
        <f>IF(A154&lt;&gt;"","➔ Trace Lineage","")</f>
        <v/>
      </c>
    </row>
    <row r="155" ht="15.75" customHeight="1" s="132">
      <c r="A155" s="273">
        <f>IF(DATA_KO!A146&lt;&gt;"",""&amp;DATA_KO!A146,"")</f>
        <v/>
      </c>
      <c r="B155" s="273">
        <f>IF(A155&lt;&gt;"","KO","")</f>
        <v/>
      </c>
      <c r="C155" s="273">
        <f>IF(A155&lt;&gt;"",""&amp;DATA_KO!B146,"")</f>
        <v/>
      </c>
      <c r="D155" s="273">
        <f>IF(A155&lt;&gt;"",""&amp;DATA_KO!C146,"")</f>
        <v/>
      </c>
      <c r="E155" s="274">
        <f>IF(A155&lt;&gt;"",DATA_KO!G146,"")</f>
        <v/>
      </c>
      <c r="F155" s="273">
        <f>IF(A155&lt;&gt;"",""&amp;DATA_KO!H146,"")</f>
        <v/>
      </c>
      <c r="G155" s="273">
        <f>IF(A155&lt;&gt;"",""&amp;DATA_KO!E146,"")</f>
        <v/>
      </c>
      <c r="H155" s="275">
        <f>IF(A155&lt;&gt;"","➔ Trace Lineage","")</f>
        <v/>
      </c>
    </row>
    <row r="156" ht="15.75" customHeight="1" s="132">
      <c r="A156" s="273">
        <f>IF(DATA_KO!A147&lt;&gt;"",""&amp;DATA_KO!A147,"")</f>
        <v/>
      </c>
      <c r="B156" s="273">
        <f>IF(A156&lt;&gt;"","KO","")</f>
        <v/>
      </c>
      <c r="C156" s="273">
        <f>IF(A156&lt;&gt;"",""&amp;DATA_KO!B147,"")</f>
        <v/>
      </c>
      <c r="D156" s="273">
        <f>IF(A156&lt;&gt;"",""&amp;DATA_KO!C147,"")</f>
        <v/>
      </c>
      <c r="E156" s="274">
        <f>IF(A156&lt;&gt;"",DATA_KO!G147,"")</f>
        <v/>
      </c>
      <c r="F156" s="273">
        <f>IF(A156&lt;&gt;"",""&amp;DATA_KO!H147,"")</f>
        <v/>
      </c>
      <c r="G156" s="273">
        <f>IF(A156&lt;&gt;"",""&amp;DATA_KO!E147,"")</f>
        <v/>
      </c>
      <c r="H156" s="275">
        <f>IF(A156&lt;&gt;"","➔ Trace Lineage","")</f>
        <v/>
      </c>
    </row>
    <row r="157" ht="15.75" customHeight="1" s="132">
      <c r="A157" s="273">
        <f>IF(DATA_KO!A148&lt;&gt;"",""&amp;DATA_KO!A148,"")</f>
        <v/>
      </c>
      <c r="B157" s="273">
        <f>IF(A157&lt;&gt;"","KO","")</f>
        <v/>
      </c>
      <c r="C157" s="273">
        <f>IF(A157&lt;&gt;"",""&amp;DATA_KO!B148,"")</f>
        <v/>
      </c>
      <c r="D157" s="273">
        <f>IF(A157&lt;&gt;"",""&amp;DATA_KO!C148,"")</f>
        <v/>
      </c>
      <c r="E157" s="274">
        <f>IF(A157&lt;&gt;"",DATA_KO!G148,"")</f>
        <v/>
      </c>
      <c r="F157" s="273">
        <f>IF(A157&lt;&gt;"",""&amp;DATA_KO!H148,"")</f>
        <v/>
      </c>
      <c r="G157" s="273">
        <f>IF(A157&lt;&gt;"",""&amp;DATA_KO!E148,"")</f>
        <v/>
      </c>
      <c r="H157" s="275">
        <f>IF(A157&lt;&gt;"","➔ Trace Lineage","")</f>
        <v/>
      </c>
    </row>
    <row r="158" ht="15.75" customHeight="1" s="132">
      <c r="A158" s="273">
        <f>IF(DATA_KO!A149&lt;&gt;"",""&amp;DATA_KO!A149,"")</f>
        <v/>
      </c>
      <c r="B158" s="273">
        <f>IF(A158&lt;&gt;"","KO","")</f>
        <v/>
      </c>
      <c r="C158" s="273">
        <f>IF(A158&lt;&gt;"",""&amp;DATA_KO!B149,"")</f>
        <v/>
      </c>
      <c r="D158" s="273">
        <f>IF(A158&lt;&gt;"",""&amp;DATA_KO!C149,"")</f>
        <v/>
      </c>
      <c r="E158" s="274">
        <f>IF(A158&lt;&gt;"",DATA_KO!G149,"")</f>
        <v/>
      </c>
      <c r="F158" s="273">
        <f>IF(A158&lt;&gt;"",""&amp;DATA_KO!H149,"")</f>
        <v/>
      </c>
      <c r="G158" s="273">
        <f>IF(A158&lt;&gt;"",""&amp;DATA_KO!E149,"")</f>
        <v/>
      </c>
      <c r="H158" s="275">
        <f>IF(A158&lt;&gt;"","➔ Trace Lineage","")</f>
        <v/>
      </c>
    </row>
    <row r="159" ht="15.75" customHeight="1" s="132">
      <c r="A159" s="273">
        <f>IF(DATA_KO!A150&lt;&gt;"",""&amp;DATA_KO!A150,"")</f>
        <v/>
      </c>
      <c r="B159" s="273">
        <f>IF(A159&lt;&gt;"","KO","")</f>
        <v/>
      </c>
      <c r="C159" s="273">
        <f>IF(A159&lt;&gt;"",""&amp;DATA_KO!B150,"")</f>
        <v/>
      </c>
      <c r="D159" s="273">
        <f>IF(A159&lt;&gt;"",""&amp;DATA_KO!C150,"")</f>
        <v/>
      </c>
      <c r="E159" s="274">
        <f>IF(A159&lt;&gt;"",DATA_KO!G150,"")</f>
        <v/>
      </c>
      <c r="F159" s="273">
        <f>IF(A159&lt;&gt;"",""&amp;DATA_KO!H150,"")</f>
        <v/>
      </c>
      <c r="G159" s="273">
        <f>IF(A159&lt;&gt;"",""&amp;DATA_KO!E150,"")</f>
        <v/>
      </c>
      <c r="H159" s="275">
        <f>IF(A159&lt;&gt;"","➔ Trace Lineage","")</f>
        <v/>
      </c>
    </row>
    <row r="160" ht="15.75" customHeight="1" s="132">
      <c r="A160" s="273">
        <f>IF(DATA_KO!A151&lt;&gt;"",""&amp;DATA_KO!A151,"")</f>
        <v/>
      </c>
      <c r="B160" s="273">
        <f>IF(A160&lt;&gt;"","KO","")</f>
        <v/>
      </c>
      <c r="C160" s="273">
        <f>IF(A160&lt;&gt;"",""&amp;DATA_KO!B151,"")</f>
        <v/>
      </c>
      <c r="D160" s="273">
        <f>IF(A160&lt;&gt;"",""&amp;DATA_KO!C151,"")</f>
        <v/>
      </c>
      <c r="E160" s="274">
        <f>IF(A160&lt;&gt;"",DATA_KO!G151,"")</f>
        <v/>
      </c>
      <c r="F160" s="273">
        <f>IF(A160&lt;&gt;"",""&amp;DATA_KO!H151,"")</f>
        <v/>
      </c>
      <c r="G160" s="273">
        <f>IF(A160&lt;&gt;"",""&amp;DATA_KO!E151,"")</f>
        <v/>
      </c>
      <c r="H160" s="275">
        <f>IF(A160&lt;&gt;"","➔ Trace Lineage","")</f>
        <v/>
      </c>
    </row>
    <row r="161" ht="15.75" customHeight="1" s="132">
      <c r="A161" s="273">
        <f>IF(DATA_KO!A152&lt;&gt;"",""&amp;DATA_KO!A152,"")</f>
        <v/>
      </c>
      <c r="B161" s="273">
        <f>IF(A161&lt;&gt;"","KO","")</f>
        <v/>
      </c>
      <c r="C161" s="273">
        <f>IF(A161&lt;&gt;"",""&amp;DATA_KO!B152,"")</f>
        <v/>
      </c>
      <c r="D161" s="273">
        <f>IF(A161&lt;&gt;"",""&amp;DATA_KO!C152,"")</f>
        <v/>
      </c>
      <c r="E161" s="274">
        <f>IF(A161&lt;&gt;"",DATA_KO!G152,"")</f>
        <v/>
      </c>
      <c r="F161" s="273">
        <f>IF(A161&lt;&gt;"",""&amp;DATA_KO!H152,"")</f>
        <v/>
      </c>
      <c r="G161" s="273">
        <f>IF(A161&lt;&gt;"",""&amp;DATA_KO!E152,"")</f>
        <v/>
      </c>
      <c r="H161" s="275">
        <f>IF(A161&lt;&gt;"","➔ Trace Lineage","")</f>
        <v/>
      </c>
    </row>
    <row r="162" ht="15.75" customHeight="1" s="132">
      <c r="A162" s="273">
        <f>IF(DATA_KO!A153&lt;&gt;"",""&amp;DATA_KO!A153,"")</f>
        <v/>
      </c>
      <c r="B162" s="273">
        <f>IF(A162&lt;&gt;"","KO","")</f>
        <v/>
      </c>
      <c r="C162" s="273">
        <f>IF(A162&lt;&gt;"",""&amp;DATA_KO!B153,"")</f>
        <v/>
      </c>
      <c r="D162" s="273">
        <f>IF(A162&lt;&gt;"",""&amp;DATA_KO!C153,"")</f>
        <v/>
      </c>
      <c r="E162" s="274">
        <f>IF(A162&lt;&gt;"",DATA_KO!G153,"")</f>
        <v/>
      </c>
      <c r="F162" s="273">
        <f>IF(A162&lt;&gt;"",""&amp;DATA_KO!H153,"")</f>
        <v/>
      </c>
      <c r="G162" s="273">
        <f>IF(A162&lt;&gt;"",""&amp;DATA_KO!E153,"")</f>
        <v/>
      </c>
      <c r="H162" s="275">
        <f>IF(A162&lt;&gt;"","➔ Trace Lineage","")</f>
        <v/>
      </c>
    </row>
    <row r="163" ht="15.75" customHeight="1" s="132">
      <c r="A163" s="273">
        <f>IF(DATA_KO!A154&lt;&gt;"",""&amp;DATA_KO!A154,"")</f>
        <v/>
      </c>
      <c r="B163" s="273">
        <f>IF(A163&lt;&gt;"","KO","")</f>
        <v/>
      </c>
      <c r="C163" s="273">
        <f>IF(A163&lt;&gt;"",""&amp;DATA_KO!B154,"")</f>
        <v/>
      </c>
      <c r="D163" s="273">
        <f>IF(A163&lt;&gt;"",""&amp;DATA_KO!C154,"")</f>
        <v/>
      </c>
      <c r="E163" s="274">
        <f>IF(A163&lt;&gt;"",DATA_KO!G154,"")</f>
        <v/>
      </c>
      <c r="F163" s="273">
        <f>IF(A163&lt;&gt;"",""&amp;DATA_KO!H154,"")</f>
        <v/>
      </c>
      <c r="G163" s="273">
        <f>IF(A163&lt;&gt;"",""&amp;DATA_KO!E154,"")</f>
        <v/>
      </c>
      <c r="H163" s="275">
        <f>IF(A163&lt;&gt;"","➔ Trace Lineage","")</f>
        <v/>
      </c>
    </row>
    <row r="164" ht="15.75" customHeight="1" s="132">
      <c r="A164" s="273">
        <f>IF(DATA_KO!A155&lt;&gt;"",""&amp;DATA_KO!A155,"")</f>
        <v/>
      </c>
      <c r="B164" s="273">
        <f>IF(A164&lt;&gt;"","KO","")</f>
        <v/>
      </c>
      <c r="C164" s="273">
        <f>IF(A164&lt;&gt;"",""&amp;DATA_KO!B155,"")</f>
        <v/>
      </c>
      <c r="D164" s="273">
        <f>IF(A164&lt;&gt;"",""&amp;DATA_KO!C155,"")</f>
        <v/>
      </c>
      <c r="E164" s="274">
        <f>IF(A164&lt;&gt;"",DATA_KO!G155,"")</f>
        <v/>
      </c>
      <c r="F164" s="273">
        <f>IF(A164&lt;&gt;"",""&amp;DATA_KO!H155,"")</f>
        <v/>
      </c>
      <c r="G164" s="273">
        <f>IF(A164&lt;&gt;"",""&amp;DATA_KO!E155,"")</f>
        <v/>
      </c>
      <c r="H164" s="275">
        <f>IF(A164&lt;&gt;"","➔ Trace Lineage","")</f>
        <v/>
      </c>
    </row>
    <row r="165" ht="15.75" customHeight="1" s="132">
      <c r="A165" s="273">
        <f>IF(DATA_KO!A156&lt;&gt;"",""&amp;DATA_KO!A156,"")</f>
        <v/>
      </c>
      <c r="B165" s="273">
        <f>IF(A165&lt;&gt;"","KO","")</f>
        <v/>
      </c>
      <c r="C165" s="273">
        <f>IF(A165&lt;&gt;"",""&amp;DATA_KO!B156,"")</f>
        <v/>
      </c>
      <c r="D165" s="273">
        <f>IF(A165&lt;&gt;"",""&amp;DATA_KO!C156,"")</f>
        <v/>
      </c>
      <c r="E165" s="274">
        <f>IF(A165&lt;&gt;"",DATA_KO!G156,"")</f>
        <v/>
      </c>
      <c r="F165" s="273">
        <f>IF(A165&lt;&gt;"",""&amp;DATA_KO!H156,"")</f>
        <v/>
      </c>
      <c r="G165" s="273">
        <f>IF(A165&lt;&gt;"",""&amp;DATA_KO!E156,"")</f>
        <v/>
      </c>
      <c r="H165" s="275">
        <f>IF(A165&lt;&gt;"","➔ Trace Lineage","")</f>
        <v/>
      </c>
    </row>
    <row r="166" ht="15.75" customHeight="1" s="132">
      <c r="A166" s="273">
        <f>IF(DATA_KO!A157&lt;&gt;"",""&amp;DATA_KO!A157,"")</f>
        <v/>
      </c>
      <c r="B166" s="273">
        <f>IF(A166&lt;&gt;"","KO","")</f>
        <v/>
      </c>
      <c r="C166" s="273">
        <f>IF(A166&lt;&gt;"",""&amp;DATA_KO!B157,"")</f>
        <v/>
      </c>
      <c r="D166" s="273">
        <f>IF(A166&lt;&gt;"",""&amp;DATA_KO!C157,"")</f>
        <v/>
      </c>
      <c r="E166" s="274">
        <f>IF(A166&lt;&gt;"",DATA_KO!G157,"")</f>
        <v/>
      </c>
      <c r="F166" s="273">
        <f>IF(A166&lt;&gt;"",""&amp;DATA_KO!H157,"")</f>
        <v/>
      </c>
      <c r="G166" s="273">
        <f>IF(A166&lt;&gt;"",""&amp;DATA_KO!E157,"")</f>
        <v/>
      </c>
      <c r="H166" s="275">
        <f>IF(A166&lt;&gt;"","➔ Trace Lineage","")</f>
        <v/>
      </c>
    </row>
    <row r="167" ht="15.75" customHeight="1" s="132">
      <c r="A167" s="273">
        <f>IF(DATA_KO!A158&lt;&gt;"",""&amp;DATA_KO!A158,"")</f>
        <v/>
      </c>
      <c r="B167" s="273">
        <f>IF(A167&lt;&gt;"","KO","")</f>
        <v/>
      </c>
      <c r="C167" s="273">
        <f>IF(A167&lt;&gt;"",""&amp;DATA_KO!B158,"")</f>
        <v/>
      </c>
      <c r="D167" s="273">
        <f>IF(A167&lt;&gt;"",""&amp;DATA_KO!C158,"")</f>
        <v/>
      </c>
      <c r="E167" s="274">
        <f>IF(A167&lt;&gt;"",DATA_KO!G158,"")</f>
        <v/>
      </c>
      <c r="F167" s="273">
        <f>IF(A167&lt;&gt;"",""&amp;DATA_KO!H158,"")</f>
        <v/>
      </c>
      <c r="G167" s="273">
        <f>IF(A167&lt;&gt;"",""&amp;DATA_KO!E158,"")</f>
        <v/>
      </c>
      <c r="H167" s="275">
        <f>IF(A167&lt;&gt;"","➔ Trace Lineage","")</f>
        <v/>
      </c>
    </row>
    <row r="168" ht="15.75" customHeight="1" s="132">
      <c r="A168" s="273">
        <f>IF(DATA_KO!A159&lt;&gt;"",""&amp;DATA_KO!A159,"")</f>
        <v/>
      </c>
      <c r="B168" s="273">
        <f>IF(A168&lt;&gt;"","KO","")</f>
        <v/>
      </c>
      <c r="C168" s="273">
        <f>IF(A168&lt;&gt;"",""&amp;DATA_KO!B159,"")</f>
        <v/>
      </c>
      <c r="D168" s="273">
        <f>IF(A168&lt;&gt;"",""&amp;DATA_KO!C159,"")</f>
        <v/>
      </c>
      <c r="E168" s="274">
        <f>IF(A168&lt;&gt;"",DATA_KO!G159,"")</f>
        <v/>
      </c>
      <c r="F168" s="273">
        <f>IF(A168&lt;&gt;"",""&amp;DATA_KO!H159,"")</f>
        <v/>
      </c>
      <c r="G168" s="273">
        <f>IF(A168&lt;&gt;"",""&amp;DATA_KO!E159,"")</f>
        <v/>
      </c>
      <c r="H168" s="275">
        <f>IF(A168&lt;&gt;"","➔ Trace Lineage","")</f>
        <v/>
      </c>
    </row>
    <row r="169" ht="15.75" customHeight="1" s="132">
      <c r="A169" s="273">
        <f>IF(DATA_KO!A160&lt;&gt;"",""&amp;DATA_KO!A160,"")</f>
        <v/>
      </c>
      <c r="B169" s="273">
        <f>IF(A169&lt;&gt;"","KO","")</f>
        <v/>
      </c>
      <c r="C169" s="273">
        <f>IF(A169&lt;&gt;"",""&amp;DATA_KO!B160,"")</f>
        <v/>
      </c>
      <c r="D169" s="273">
        <f>IF(A169&lt;&gt;"",""&amp;DATA_KO!C160,"")</f>
        <v/>
      </c>
      <c r="E169" s="274">
        <f>IF(A169&lt;&gt;"",DATA_KO!G160,"")</f>
        <v/>
      </c>
      <c r="F169" s="273">
        <f>IF(A169&lt;&gt;"",""&amp;DATA_KO!H160,"")</f>
        <v/>
      </c>
      <c r="G169" s="273">
        <f>IF(A169&lt;&gt;"",""&amp;DATA_KO!E160,"")</f>
        <v/>
      </c>
      <c r="H169" s="275">
        <f>IF(A169&lt;&gt;"","➔ Trace Lineage","")</f>
        <v/>
      </c>
    </row>
    <row r="170" ht="15.75" customHeight="1" s="132">
      <c r="A170" s="273">
        <f>IF(DATA_KO!A161&lt;&gt;"",""&amp;DATA_KO!A161,"")</f>
        <v/>
      </c>
      <c r="B170" s="273">
        <f>IF(A170&lt;&gt;"","KO","")</f>
        <v/>
      </c>
      <c r="C170" s="273">
        <f>IF(A170&lt;&gt;"",""&amp;DATA_KO!B161,"")</f>
        <v/>
      </c>
      <c r="D170" s="273">
        <f>IF(A170&lt;&gt;"",""&amp;DATA_KO!C161,"")</f>
        <v/>
      </c>
      <c r="E170" s="274">
        <f>IF(A170&lt;&gt;"",DATA_KO!G161,"")</f>
        <v/>
      </c>
      <c r="F170" s="273">
        <f>IF(A170&lt;&gt;"",""&amp;DATA_KO!H161,"")</f>
        <v/>
      </c>
      <c r="G170" s="273">
        <f>IF(A170&lt;&gt;"",""&amp;DATA_KO!E161,"")</f>
        <v/>
      </c>
      <c r="H170" s="275">
        <f>IF(A170&lt;&gt;"","➔ Trace Lineage","")</f>
        <v/>
      </c>
    </row>
    <row r="171" ht="15.75" customHeight="1" s="132">
      <c r="A171" s="273">
        <f>IF(DATA_KO!A162&lt;&gt;"",""&amp;DATA_KO!A162,"")</f>
        <v/>
      </c>
      <c r="B171" s="273">
        <f>IF(A171&lt;&gt;"","KO","")</f>
        <v/>
      </c>
      <c r="C171" s="273">
        <f>IF(A171&lt;&gt;"",""&amp;DATA_KO!B162,"")</f>
        <v/>
      </c>
      <c r="D171" s="273">
        <f>IF(A171&lt;&gt;"",""&amp;DATA_KO!C162,"")</f>
        <v/>
      </c>
      <c r="E171" s="274">
        <f>IF(A171&lt;&gt;"",DATA_KO!G162,"")</f>
        <v/>
      </c>
      <c r="F171" s="273">
        <f>IF(A171&lt;&gt;"",""&amp;DATA_KO!H162,"")</f>
        <v/>
      </c>
      <c r="G171" s="273">
        <f>IF(A171&lt;&gt;"",""&amp;DATA_KO!E162,"")</f>
        <v/>
      </c>
      <c r="H171" s="275">
        <f>IF(A171&lt;&gt;"","➔ Trace Lineage","")</f>
        <v/>
      </c>
    </row>
    <row r="172" ht="15.75" customHeight="1" s="132">
      <c r="A172" s="273">
        <f>IF(DATA_KO!A163&lt;&gt;"",""&amp;DATA_KO!A163,"")</f>
        <v/>
      </c>
      <c r="B172" s="273">
        <f>IF(A172&lt;&gt;"","KO","")</f>
        <v/>
      </c>
      <c r="C172" s="273">
        <f>IF(A172&lt;&gt;"",""&amp;DATA_KO!B163,"")</f>
        <v/>
      </c>
      <c r="D172" s="273">
        <f>IF(A172&lt;&gt;"",""&amp;DATA_KO!C163,"")</f>
        <v/>
      </c>
      <c r="E172" s="274">
        <f>IF(A172&lt;&gt;"",DATA_KO!G163,"")</f>
        <v/>
      </c>
      <c r="F172" s="273">
        <f>IF(A172&lt;&gt;"",""&amp;DATA_KO!H163,"")</f>
        <v/>
      </c>
      <c r="G172" s="273">
        <f>IF(A172&lt;&gt;"",""&amp;DATA_KO!E163,"")</f>
        <v/>
      </c>
      <c r="H172" s="275">
        <f>IF(A172&lt;&gt;"","➔ Trace Lineage","")</f>
        <v/>
      </c>
    </row>
    <row r="173" ht="15.75" customHeight="1" s="132">
      <c r="A173" s="273">
        <f>IF(DATA_KO!A164&lt;&gt;"",""&amp;DATA_KO!A164,"")</f>
        <v/>
      </c>
      <c r="B173" s="273">
        <f>IF(A173&lt;&gt;"","KO","")</f>
        <v/>
      </c>
      <c r="C173" s="273">
        <f>IF(A173&lt;&gt;"",""&amp;DATA_KO!B164,"")</f>
        <v/>
      </c>
      <c r="D173" s="273">
        <f>IF(A173&lt;&gt;"",""&amp;DATA_KO!C164,"")</f>
        <v/>
      </c>
      <c r="E173" s="274">
        <f>IF(A173&lt;&gt;"",DATA_KO!G164,"")</f>
        <v/>
      </c>
      <c r="F173" s="273">
        <f>IF(A173&lt;&gt;"",""&amp;DATA_KO!H164,"")</f>
        <v/>
      </c>
      <c r="G173" s="273">
        <f>IF(A173&lt;&gt;"",""&amp;DATA_KO!E164,"")</f>
        <v/>
      </c>
      <c r="H173" s="275">
        <f>IF(A173&lt;&gt;"","➔ Trace Lineage","")</f>
        <v/>
      </c>
    </row>
    <row r="174" ht="15.75" customHeight="1" s="132">
      <c r="A174" s="273">
        <f>IF(DATA_KO!A165&lt;&gt;"",""&amp;DATA_KO!A165,"")</f>
        <v/>
      </c>
      <c r="B174" s="273">
        <f>IF(A174&lt;&gt;"","KO","")</f>
        <v/>
      </c>
      <c r="C174" s="273">
        <f>IF(A174&lt;&gt;"",""&amp;DATA_KO!B165,"")</f>
        <v/>
      </c>
      <c r="D174" s="273">
        <f>IF(A174&lt;&gt;"",""&amp;DATA_KO!C165,"")</f>
        <v/>
      </c>
      <c r="E174" s="274">
        <f>IF(A174&lt;&gt;"",DATA_KO!G165,"")</f>
        <v/>
      </c>
      <c r="F174" s="273">
        <f>IF(A174&lt;&gt;"",""&amp;DATA_KO!H165,"")</f>
        <v/>
      </c>
      <c r="G174" s="273">
        <f>IF(A174&lt;&gt;"",""&amp;DATA_KO!E165,"")</f>
        <v/>
      </c>
      <c r="H174" s="275">
        <f>IF(A174&lt;&gt;"","➔ Trace Lineage","")</f>
        <v/>
      </c>
    </row>
    <row r="175" ht="15.75" customHeight="1" s="132">
      <c r="A175" s="273">
        <f>IF(DATA_KO!A166&lt;&gt;"",""&amp;DATA_KO!A166,"")</f>
        <v/>
      </c>
      <c r="B175" s="273">
        <f>IF(A175&lt;&gt;"","KO","")</f>
        <v/>
      </c>
      <c r="C175" s="273">
        <f>IF(A175&lt;&gt;"",""&amp;DATA_KO!B166,"")</f>
        <v/>
      </c>
      <c r="D175" s="273">
        <f>IF(A175&lt;&gt;"",""&amp;DATA_KO!C166,"")</f>
        <v/>
      </c>
      <c r="E175" s="274">
        <f>IF(A175&lt;&gt;"",DATA_KO!G166,"")</f>
        <v/>
      </c>
      <c r="F175" s="273">
        <f>IF(A175&lt;&gt;"",""&amp;DATA_KO!H166,"")</f>
        <v/>
      </c>
      <c r="G175" s="273">
        <f>IF(A175&lt;&gt;"",""&amp;DATA_KO!E166,"")</f>
        <v/>
      </c>
      <c r="H175" s="275">
        <f>IF(A175&lt;&gt;"","➔ Trace Lineage","")</f>
        <v/>
      </c>
    </row>
    <row r="176" ht="15.75" customHeight="1" s="132">
      <c r="A176" s="273">
        <f>IF(DATA_KO!A167&lt;&gt;"",""&amp;DATA_KO!A167,"")</f>
        <v/>
      </c>
      <c r="B176" s="273">
        <f>IF(A176&lt;&gt;"","KO","")</f>
        <v/>
      </c>
      <c r="C176" s="273">
        <f>IF(A176&lt;&gt;"",""&amp;DATA_KO!B167,"")</f>
        <v/>
      </c>
      <c r="D176" s="273">
        <f>IF(A176&lt;&gt;"",""&amp;DATA_KO!C167,"")</f>
        <v/>
      </c>
      <c r="E176" s="274">
        <f>IF(A176&lt;&gt;"",DATA_KO!G167,"")</f>
        <v/>
      </c>
      <c r="F176" s="273">
        <f>IF(A176&lt;&gt;"",""&amp;DATA_KO!H167,"")</f>
        <v/>
      </c>
      <c r="G176" s="273">
        <f>IF(A176&lt;&gt;"",""&amp;DATA_KO!E167,"")</f>
        <v/>
      </c>
      <c r="H176" s="275">
        <f>IF(A176&lt;&gt;"","➔ Trace Lineage","")</f>
        <v/>
      </c>
    </row>
    <row r="177" ht="15.75" customHeight="1" s="132">
      <c r="A177" s="273">
        <f>IF(DATA_KO!A168&lt;&gt;"",""&amp;DATA_KO!A168,"")</f>
        <v/>
      </c>
      <c r="B177" s="273">
        <f>IF(A177&lt;&gt;"","KO","")</f>
        <v/>
      </c>
      <c r="C177" s="273">
        <f>IF(A177&lt;&gt;"",""&amp;DATA_KO!B168,"")</f>
        <v/>
      </c>
      <c r="D177" s="273">
        <f>IF(A177&lt;&gt;"",""&amp;DATA_KO!C168,"")</f>
        <v/>
      </c>
      <c r="E177" s="274">
        <f>IF(A177&lt;&gt;"",DATA_KO!G168,"")</f>
        <v/>
      </c>
      <c r="F177" s="273">
        <f>IF(A177&lt;&gt;"",""&amp;DATA_KO!H168,"")</f>
        <v/>
      </c>
      <c r="G177" s="273">
        <f>IF(A177&lt;&gt;"",""&amp;DATA_KO!E168,"")</f>
        <v/>
      </c>
      <c r="H177" s="275">
        <f>IF(A177&lt;&gt;"","➔ Trace Lineage","")</f>
        <v/>
      </c>
    </row>
    <row r="178" ht="15.75" customHeight="1" s="132">
      <c r="A178" s="273">
        <f>IF(DATA_KO!A169&lt;&gt;"",""&amp;DATA_KO!A169,"")</f>
        <v/>
      </c>
      <c r="B178" s="273">
        <f>IF(A178&lt;&gt;"","KO","")</f>
        <v/>
      </c>
      <c r="C178" s="273">
        <f>IF(A178&lt;&gt;"",""&amp;DATA_KO!B169,"")</f>
        <v/>
      </c>
      <c r="D178" s="273">
        <f>IF(A178&lt;&gt;"",""&amp;DATA_KO!C169,"")</f>
        <v/>
      </c>
      <c r="E178" s="274">
        <f>IF(A178&lt;&gt;"",DATA_KO!G169,"")</f>
        <v/>
      </c>
      <c r="F178" s="273">
        <f>IF(A178&lt;&gt;"",""&amp;DATA_KO!H169,"")</f>
        <v/>
      </c>
      <c r="G178" s="273">
        <f>IF(A178&lt;&gt;"",""&amp;DATA_KO!E169,"")</f>
        <v/>
      </c>
      <c r="H178" s="275">
        <f>IF(A178&lt;&gt;"","➔ Trace Lineage","")</f>
        <v/>
      </c>
    </row>
    <row r="179" ht="15.75" customHeight="1" s="132">
      <c r="A179" s="273">
        <f>IF(DATA_KO!A170&lt;&gt;"",""&amp;DATA_KO!A170,"")</f>
        <v/>
      </c>
      <c r="B179" s="273">
        <f>IF(A179&lt;&gt;"","KO","")</f>
        <v/>
      </c>
      <c r="C179" s="273">
        <f>IF(A179&lt;&gt;"",""&amp;DATA_KO!B170,"")</f>
        <v/>
      </c>
      <c r="D179" s="273">
        <f>IF(A179&lt;&gt;"",""&amp;DATA_KO!C170,"")</f>
        <v/>
      </c>
      <c r="E179" s="274">
        <f>IF(A179&lt;&gt;"",DATA_KO!G170,"")</f>
        <v/>
      </c>
      <c r="F179" s="273">
        <f>IF(A179&lt;&gt;"",""&amp;DATA_KO!H170,"")</f>
        <v/>
      </c>
      <c r="G179" s="273">
        <f>IF(A179&lt;&gt;"",""&amp;DATA_KO!E170,"")</f>
        <v/>
      </c>
      <c r="H179" s="275">
        <f>IF(A179&lt;&gt;"","➔ Trace Lineage","")</f>
        <v/>
      </c>
    </row>
    <row r="180" ht="15.75" customHeight="1" s="132">
      <c r="A180" s="273">
        <f>IF(DATA_KO!A171&lt;&gt;"",""&amp;DATA_KO!A171,"")</f>
        <v/>
      </c>
      <c r="B180" s="273">
        <f>IF(A180&lt;&gt;"","KO","")</f>
        <v/>
      </c>
      <c r="C180" s="273">
        <f>IF(A180&lt;&gt;"",""&amp;DATA_KO!B171,"")</f>
        <v/>
      </c>
      <c r="D180" s="273">
        <f>IF(A180&lt;&gt;"",""&amp;DATA_KO!C171,"")</f>
        <v/>
      </c>
      <c r="E180" s="274">
        <f>IF(A180&lt;&gt;"",DATA_KO!G171,"")</f>
        <v/>
      </c>
      <c r="F180" s="273">
        <f>IF(A180&lt;&gt;"",""&amp;DATA_KO!H171,"")</f>
        <v/>
      </c>
      <c r="G180" s="273">
        <f>IF(A180&lt;&gt;"",""&amp;DATA_KO!E171,"")</f>
        <v/>
      </c>
      <c r="H180" s="275">
        <f>IF(A180&lt;&gt;"","➔ Trace Lineage","")</f>
        <v/>
      </c>
    </row>
    <row r="181" ht="15.75" customHeight="1" s="132">
      <c r="A181" s="273">
        <f>IF(DATA_KO!A172&lt;&gt;"",""&amp;DATA_KO!A172,"")</f>
        <v/>
      </c>
      <c r="B181" s="273">
        <f>IF(A181&lt;&gt;"","KO","")</f>
        <v/>
      </c>
      <c r="C181" s="273">
        <f>IF(A181&lt;&gt;"",""&amp;DATA_KO!B172,"")</f>
        <v/>
      </c>
      <c r="D181" s="273">
        <f>IF(A181&lt;&gt;"",""&amp;DATA_KO!C172,"")</f>
        <v/>
      </c>
      <c r="E181" s="274">
        <f>IF(A181&lt;&gt;"",DATA_KO!G172,"")</f>
        <v/>
      </c>
      <c r="F181" s="273">
        <f>IF(A181&lt;&gt;"",""&amp;DATA_KO!H172,"")</f>
        <v/>
      </c>
      <c r="G181" s="273">
        <f>IF(A181&lt;&gt;"",""&amp;DATA_KO!E172,"")</f>
        <v/>
      </c>
      <c r="H181" s="275">
        <f>IF(A181&lt;&gt;"","➔ Trace Lineage","")</f>
        <v/>
      </c>
    </row>
    <row r="182" ht="15.75" customHeight="1" s="132">
      <c r="A182" s="273">
        <f>IF(DATA_KO!A173&lt;&gt;"",""&amp;DATA_KO!A173,"")</f>
        <v/>
      </c>
      <c r="B182" s="273">
        <f>IF(A182&lt;&gt;"","KO","")</f>
        <v/>
      </c>
      <c r="C182" s="273">
        <f>IF(A182&lt;&gt;"",""&amp;DATA_KO!B173,"")</f>
        <v/>
      </c>
      <c r="D182" s="273">
        <f>IF(A182&lt;&gt;"",""&amp;DATA_KO!C173,"")</f>
        <v/>
      </c>
      <c r="E182" s="274">
        <f>IF(A182&lt;&gt;"",DATA_KO!G173,"")</f>
        <v/>
      </c>
      <c r="F182" s="273">
        <f>IF(A182&lt;&gt;"",""&amp;DATA_KO!H173,"")</f>
        <v/>
      </c>
      <c r="G182" s="273">
        <f>IF(A182&lt;&gt;"",""&amp;DATA_KO!E173,"")</f>
        <v/>
      </c>
      <c r="H182" s="275">
        <f>IF(A182&lt;&gt;"","➔ Trace Lineage","")</f>
        <v/>
      </c>
    </row>
    <row r="183" ht="15.75" customHeight="1" s="132">
      <c r="A183" s="273">
        <f>IF(DATA_KO!A174&lt;&gt;"",""&amp;DATA_KO!A174,"")</f>
        <v/>
      </c>
      <c r="B183" s="273">
        <f>IF(A183&lt;&gt;"","KO","")</f>
        <v/>
      </c>
      <c r="C183" s="273">
        <f>IF(A183&lt;&gt;"",""&amp;DATA_KO!B174,"")</f>
        <v/>
      </c>
      <c r="D183" s="273">
        <f>IF(A183&lt;&gt;"",""&amp;DATA_KO!C174,"")</f>
        <v/>
      </c>
      <c r="E183" s="274">
        <f>IF(A183&lt;&gt;"",DATA_KO!G174,"")</f>
        <v/>
      </c>
      <c r="F183" s="273">
        <f>IF(A183&lt;&gt;"",""&amp;DATA_KO!H174,"")</f>
        <v/>
      </c>
      <c r="G183" s="273">
        <f>IF(A183&lt;&gt;"",""&amp;DATA_KO!E174,"")</f>
        <v/>
      </c>
      <c r="H183" s="275">
        <f>IF(A183&lt;&gt;"","➔ Trace Lineage","")</f>
        <v/>
      </c>
    </row>
    <row r="184" ht="15.75" customHeight="1" s="132">
      <c r="A184" s="273">
        <f>IF(DATA_KO!A175&lt;&gt;"",""&amp;DATA_KO!A175,"")</f>
        <v/>
      </c>
      <c r="B184" s="273">
        <f>IF(A184&lt;&gt;"","KO","")</f>
        <v/>
      </c>
      <c r="C184" s="273">
        <f>IF(A184&lt;&gt;"",""&amp;DATA_KO!B175,"")</f>
        <v/>
      </c>
      <c r="D184" s="273">
        <f>IF(A184&lt;&gt;"",""&amp;DATA_KO!C175,"")</f>
        <v/>
      </c>
      <c r="E184" s="274">
        <f>IF(A184&lt;&gt;"",DATA_KO!G175,"")</f>
        <v/>
      </c>
      <c r="F184" s="273">
        <f>IF(A184&lt;&gt;"",""&amp;DATA_KO!H175,"")</f>
        <v/>
      </c>
      <c r="G184" s="273">
        <f>IF(A184&lt;&gt;"",""&amp;DATA_KO!E175,"")</f>
        <v/>
      </c>
      <c r="H184" s="275">
        <f>IF(A184&lt;&gt;"","➔ Trace Lineage","")</f>
        <v/>
      </c>
    </row>
    <row r="185" ht="15.75" customHeight="1" s="132">
      <c r="A185" s="273">
        <f>IF(DATA_KO!A176&lt;&gt;"",""&amp;DATA_KO!A176,"")</f>
        <v/>
      </c>
      <c r="B185" s="273">
        <f>IF(A185&lt;&gt;"","KO","")</f>
        <v/>
      </c>
      <c r="C185" s="273">
        <f>IF(A185&lt;&gt;"",""&amp;DATA_KO!B176,"")</f>
        <v/>
      </c>
      <c r="D185" s="273">
        <f>IF(A185&lt;&gt;"",""&amp;DATA_KO!C176,"")</f>
        <v/>
      </c>
      <c r="E185" s="274">
        <f>IF(A185&lt;&gt;"",DATA_KO!G176,"")</f>
        <v/>
      </c>
      <c r="F185" s="273">
        <f>IF(A185&lt;&gt;"",""&amp;DATA_KO!H176,"")</f>
        <v/>
      </c>
      <c r="G185" s="273">
        <f>IF(A185&lt;&gt;"",""&amp;DATA_KO!E176,"")</f>
        <v/>
      </c>
      <c r="H185" s="275">
        <f>IF(A185&lt;&gt;"","➔ Trace Lineage","")</f>
        <v/>
      </c>
    </row>
    <row r="186" ht="15.75" customHeight="1" s="132">
      <c r="A186" s="273">
        <f>IF(DATA_KO!A177&lt;&gt;"",""&amp;DATA_KO!A177,"")</f>
        <v/>
      </c>
      <c r="B186" s="273">
        <f>IF(A186&lt;&gt;"","KO","")</f>
        <v/>
      </c>
      <c r="C186" s="273">
        <f>IF(A186&lt;&gt;"",""&amp;DATA_KO!B177,"")</f>
        <v/>
      </c>
      <c r="D186" s="273">
        <f>IF(A186&lt;&gt;"",""&amp;DATA_KO!C177,"")</f>
        <v/>
      </c>
      <c r="E186" s="274">
        <f>IF(A186&lt;&gt;"",DATA_KO!G177,"")</f>
        <v/>
      </c>
      <c r="F186" s="273">
        <f>IF(A186&lt;&gt;"",""&amp;DATA_KO!H177,"")</f>
        <v/>
      </c>
      <c r="G186" s="273">
        <f>IF(A186&lt;&gt;"",""&amp;DATA_KO!E177,"")</f>
        <v/>
      </c>
      <c r="H186" s="275">
        <f>IF(A186&lt;&gt;"","➔ Trace Lineage","")</f>
        <v/>
      </c>
    </row>
    <row r="187" ht="15.75" customHeight="1" s="132">
      <c r="A187" s="273">
        <f>IF(DATA_KO!A178&lt;&gt;"",""&amp;DATA_KO!A178,"")</f>
        <v/>
      </c>
      <c r="B187" s="273">
        <f>IF(A187&lt;&gt;"","KO","")</f>
        <v/>
      </c>
      <c r="C187" s="273">
        <f>IF(A187&lt;&gt;"",""&amp;DATA_KO!B178,"")</f>
        <v/>
      </c>
      <c r="D187" s="273">
        <f>IF(A187&lt;&gt;"",""&amp;DATA_KO!C178,"")</f>
        <v/>
      </c>
      <c r="E187" s="274">
        <f>IF(A187&lt;&gt;"",DATA_KO!G178,"")</f>
        <v/>
      </c>
      <c r="F187" s="273">
        <f>IF(A187&lt;&gt;"",""&amp;DATA_KO!H178,"")</f>
        <v/>
      </c>
      <c r="G187" s="273">
        <f>IF(A187&lt;&gt;"",""&amp;DATA_KO!E178,"")</f>
        <v/>
      </c>
      <c r="H187" s="275">
        <f>IF(A187&lt;&gt;"","➔ Trace Lineage","")</f>
        <v/>
      </c>
    </row>
    <row r="188" ht="15.75" customHeight="1" s="132">
      <c r="A188" s="273">
        <f>IF(DATA_KO!A179&lt;&gt;"",""&amp;DATA_KO!A179,"")</f>
        <v/>
      </c>
      <c r="B188" s="273">
        <f>IF(A188&lt;&gt;"","KO","")</f>
        <v/>
      </c>
      <c r="C188" s="273">
        <f>IF(A188&lt;&gt;"",""&amp;DATA_KO!B179,"")</f>
        <v/>
      </c>
      <c r="D188" s="273">
        <f>IF(A188&lt;&gt;"",""&amp;DATA_KO!C179,"")</f>
        <v/>
      </c>
      <c r="E188" s="274">
        <f>IF(A188&lt;&gt;"",DATA_KO!G179,"")</f>
        <v/>
      </c>
      <c r="F188" s="273">
        <f>IF(A188&lt;&gt;"",""&amp;DATA_KO!H179,"")</f>
        <v/>
      </c>
      <c r="G188" s="273">
        <f>IF(A188&lt;&gt;"",""&amp;DATA_KO!E179,"")</f>
        <v/>
      </c>
      <c r="H188" s="275">
        <f>IF(A188&lt;&gt;"","➔ Trace Lineage","")</f>
        <v/>
      </c>
    </row>
    <row r="189" ht="15.75" customHeight="1" s="132">
      <c r="A189" s="273">
        <f>IF(DATA_KO!A180&lt;&gt;"",""&amp;DATA_KO!A180,"")</f>
        <v/>
      </c>
      <c r="B189" s="273">
        <f>IF(A189&lt;&gt;"","KO","")</f>
        <v/>
      </c>
      <c r="C189" s="273">
        <f>IF(A189&lt;&gt;"",""&amp;DATA_KO!B180,"")</f>
        <v/>
      </c>
      <c r="D189" s="273">
        <f>IF(A189&lt;&gt;"",""&amp;DATA_KO!C180,"")</f>
        <v/>
      </c>
      <c r="E189" s="274">
        <f>IF(A189&lt;&gt;"",DATA_KO!G180,"")</f>
        <v/>
      </c>
      <c r="F189" s="273">
        <f>IF(A189&lt;&gt;"",""&amp;DATA_KO!H180,"")</f>
        <v/>
      </c>
      <c r="G189" s="273">
        <f>IF(A189&lt;&gt;"",""&amp;DATA_KO!E180,"")</f>
        <v/>
      </c>
      <c r="H189" s="275">
        <f>IF(A189&lt;&gt;"","➔ Trace Lineage","")</f>
        <v/>
      </c>
    </row>
    <row r="190" ht="15.75" customHeight="1" s="132">
      <c r="A190" s="273">
        <f>IF(DATA_KO!A181&lt;&gt;"",""&amp;DATA_KO!A181,"")</f>
        <v/>
      </c>
      <c r="B190" s="273">
        <f>IF(A190&lt;&gt;"","KO","")</f>
        <v/>
      </c>
      <c r="C190" s="273">
        <f>IF(A190&lt;&gt;"",""&amp;DATA_KO!B181,"")</f>
        <v/>
      </c>
      <c r="D190" s="273">
        <f>IF(A190&lt;&gt;"",""&amp;DATA_KO!C181,"")</f>
        <v/>
      </c>
      <c r="E190" s="274">
        <f>IF(A190&lt;&gt;"",DATA_KO!G181,"")</f>
        <v/>
      </c>
      <c r="F190" s="273">
        <f>IF(A190&lt;&gt;"",""&amp;DATA_KO!H181,"")</f>
        <v/>
      </c>
      <c r="G190" s="273">
        <f>IF(A190&lt;&gt;"",""&amp;DATA_KO!E181,"")</f>
        <v/>
      </c>
      <c r="H190" s="275">
        <f>IF(A190&lt;&gt;"","➔ Trace Lineage","")</f>
        <v/>
      </c>
    </row>
    <row r="191" ht="15.75" customHeight="1" s="132">
      <c r="A191" s="273">
        <f>IF(DATA_KO!A182&lt;&gt;"",""&amp;DATA_KO!A182,"")</f>
        <v/>
      </c>
      <c r="B191" s="273">
        <f>IF(A191&lt;&gt;"","KO","")</f>
        <v/>
      </c>
      <c r="C191" s="273">
        <f>IF(A191&lt;&gt;"",""&amp;DATA_KO!B182,"")</f>
        <v/>
      </c>
      <c r="D191" s="273">
        <f>IF(A191&lt;&gt;"",""&amp;DATA_KO!C182,"")</f>
        <v/>
      </c>
      <c r="E191" s="274">
        <f>IF(A191&lt;&gt;"",DATA_KO!G182,"")</f>
        <v/>
      </c>
      <c r="F191" s="273">
        <f>IF(A191&lt;&gt;"",""&amp;DATA_KO!H182,"")</f>
        <v/>
      </c>
      <c r="G191" s="273">
        <f>IF(A191&lt;&gt;"",""&amp;DATA_KO!E182,"")</f>
        <v/>
      </c>
      <c r="H191" s="275">
        <f>IF(A191&lt;&gt;"","➔ Trace Lineage","")</f>
        <v/>
      </c>
    </row>
    <row r="192" ht="15.75" customHeight="1" s="132">
      <c r="A192" s="273">
        <f>IF(DATA_KO!A183&lt;&gt;"",""&amp;DATA_KO!A183,"")</f>
        <v/>
      </c>
      <c r="B192" s="273">
        <f>IF(A192&lt;&gt;"","KO","")</f>
        <v/>
      </c>
      <c r="C192" s="273">
        <f>IF(A192&lt;&gt;"",""&amp;DATA_KO!B183,"")</f>
        <v/>
      </c>
      <c r="D192" s="273">
        <f>IF(A192&lt;&gt;"",""&amp;DATA_KO!C183,"")</f>
        <v/>
      </c>
      <c r="E192" s="274">
        <f>IF(A192&lt;&gt;"",DATA_KO!G183,"")</f>
        <v/>
      </c>
      <c r="F192" s="273">
        <f>IF(A192&lt;&gt;"",""&amp;DATA_KO!H183,"")</f>
        <v/>
      </c>
      <c r="G192" s="273">
        <f>IF(A192&lt;&gt;"",""&amp;DATA_KO!E183,"")</f>
        <v/>
      </c>
      <c r="H192" s="275">
        <f>IF(A192&lt;&gt;"","➔ Trace Lineage","")</f>
        <v/>
      </c>
    </row>
    <row r="193" ht="15.75" customHeight="1" s="132">
      <c r="A193" s="273">
        <f>IF(DATA_KO!A184&lt;&gt;"",""&amp;DATA_KO!A184,"")</f>
        <v/>
      </c>
      <c r="B193" s="273">
        <f>IF(A193&lt;&gt;"","KO","")</f>
        <v/>
      </c>
      <c r="C193" s="273">
        <f>IF(A193&lt;&gt;"",""&amp;DATA_KO!B184,"")</f>
        <v/>
      </c>
      <c r="D193" s="273">
        <f>IF(A193&lt;&gt;"",""&amp;DATA_KO!C184,"")</f>
        <v/>
      </c>
      <c r="E193" s="274">
        <f>IF(A193&lt;&gt;"",DATA_KO!G184,"")</f>
        <v/>
      </c>
      <c r="F193" s="273">
        <f>IF(A193&lt;&gt;"",""&amp;DATA_KO!H184,"")</f>
        <v/>
      </c>
      <c r="G193" s="273">
        <f>IF(A193&lt;&gt;"",""&amp;DATA_KO!E184,"")</f>
        <v/>
      </c>
      <c r="H193" s="275">
        <f>IF(A193&lt;&gt;"","➔ Trace Lineage","")</f>
        <v/>
      </c>
    </row>
    <row r="194" ht="15.75" customHeight="1" s="132">
      <c r="A194" s="273">
        <f>IF(DATA_KO!A185&lt;&gt;"",""&amp;DATA_KO!A185,"")</f>
        <v/>
      </c>
      <c r="B194" s="273">
        <f>IF(A194&lt;&gt;"","KO","")</f>
        <v/>
      </c>
      <c r="C194" s="273">
        <f>IF(A194&lt;&gt;"",""&amp;DATA_KO!B185,"")</f>
        <v/>
      </c>
      <c r="D194" s="273">
        <f>IF(A194&lt;&gt;"",""&amp;DATA_KO!C185,"")</f>
        <v/>
      </c>
      <c r="E194" s="274">
        <f>IF(A194&lt;&gt;"",DATA_KO!G185,"")</f>
        <v/>
      </c>
      <c r="F194" s="273">
        <f>IF(A194&lt;&gt;"",""&amp;DATA_KO!H185,"")</f>
        <v/>
      </c>
      <c r="G194" s="273">
        <f>IF(A194&lt;&gt;"",""&amp;DATA_KO!E185,"")</f>
        <v/>
      </c>
      <c r="H194" s="275">
        <f>IF(A194&lt;&gt;"","➔ Trace Lineage","")</f>
        <v/>
      </c>
    </row>
    <row r="195" ht="15.75" customHeight="1" s="132">
      <c r="A195" s="273">
        <f>IF(DATA_KO!A186&lt;&gt;"",""&amp;DATA_KO!A186,"")</f>
        <v/>
      </c>
      <c r="B195" s="273">
        <f>IF(A195&lt;&gt;"","KO","")</f>
        <v/>
      </c>
      <c r="C195" s="273">
        <f>IF(A195&lt;&gt;"",""&amp;DATA_KO!B186,"")</f>
        <v/>
      </c>
      <c r="D195" s="273">
        <f>IF(A195&lt;&gt;"",""&amp;DATA_KO!C186,"")</f>
        <v/>
      </c>
      <c r="E195" s="274">
        <f>IF(A195&lt;&gt;"",DATA_KO!G186,"")</f>
        <v/>
      </c>
      <c r="F195" s="273">
        <f>IF(A195&lt;&gt;"",""&amp;DATA_KO!H186,"")</f>
        <v/>
      </c>
      <c r="G195" s="273">
        <f>IF(A195&lt;&gt;"",""&amp;DATA_KO!E186,"")</f>
        <v/>
      </c>
      <c r="H195" s="275">
        <f>IF(A195&lt;&gt;"","➔ Trace Lineage","")</f>
        <v/>
      </c>
    </row>
    <row r="196" ht="15.75" customHeight="1" s="132">
      <c r="A196" s="273">
        <f>IF(DATA_KO!A187&lt;&gt;"",""&amp;DATA_KO!A187,"")</f>
        <v/>
      </c>
      <c r="B196" s="273">
        <f>IF(A196&lt;&gt;"","KO","")</f>
        <v/>
      </c>
      <c r="C196" s="273">
        <f>IF(A196&lt;&gt;"",""&amp;DATA_KO!B187,"")</f>
        <v/>
      </c>
      <c r="D196" s="273">
        <f>IF(A196&lt;&gt;"",""&amp;DATA_KO!C187,"")</f>
        <v/>
      </c>
      <c r="E196" s="274">
        <f>IF(A196&lt;&gt;"",DATA_KO!G187,"")</f>
        <v/>
      </c>
      <c r="F196" s="273">
        <f>IF(A196&lt;&gt;"",""&amp;DATA_KO!H187,"")</f>
        <v/>
      </c>
      <c r="G196" s="273">
        <f>IF(A196&lt;&gt;"",""&amp;DATA_KO!E187,"")</f>
        <v/>
      </c>
      <c r="H196" s="275">
        <f>IF(A196&lt;&gt;"","➔ Trace Lineage","")</f>
        <v/>
      </c>
    </row>
    <row r="197" ht="15.75" customHeight="1" s="132">
      <c r="A197" s="273">
        <f>IF(DATA_KO!A188&lt;&gt;"",""&amp;DATA_KO!A188,"")</f>
        <v/>
      </c>
      <c r="B197" s="273">
        <f>IF(A197&lt;&gt;"","KO","")</f>
        <v/>
      </c>
      <c r="C197" s="273">
        <f>IF(A197&lt;&gt;"",""&amp;DATA_KO!B188,"")</f>
        <v/>
      </c>
      <c r="D197" s="273">
        <f>IF(A197&lt;&gt;"",""&amp;DATA_KO!C188,"")</f>
        <v/>
      </c>
      <c r="E197" s="274">
        <f>IF(A197&lt;&gt;"",DATA_KO!G188,"")</f>
        <v/>
      </c>
      <c r="F197" s="273">
        <f>IF(A197&lt;&gt;"",""&amp;DATA_KO!H188,"")</f>
        <v/>
      </c>
      <c r="G197" s="273">
        <f>IF(A197&lt;&gt;"",""&amp;DATA_KO!E188,"")</f>
        <v/>
      </c>
      <c r="H197" s="275">
        <f>IF(A197&lt;&gt;"","➔ Trace Lineage","")</f>
        <v/>
      </c>
    </row>
    <row r="198" ht="15.75" customHeight="1" s="132">
      <c r="A198" s="273">
        <f>IF(DATA_KO!A189&lt;&gt;"",""&amp;DATA_KO!A189,"")</f>
        <v/>
      </c>
      <c r="B198" s="273">
        <f>IF(A198&lt;&gt;"","KO","")</f>
        <v/>
      </c>
      <c r="C198" s="273">
        <f>IF(A198&lt;&gt;"",""&amp;DATA_KO!B189,"")</f>
        <v/>
      </c>
      <c r="D198" s="273">
        <f>IF(A198&lt;&gt;"",""&amp;DATA_KO!C189,"")</f>
        <v/>
      </c>
      <c r="E198" s="274">
        <f>IF(A198&lt;&gt;"",DATA_KO!G189,"")</f>
        <v/>
      </c>
      <c r="F198" s="273">
        <f>IF(A198&lt;&gt;"",""&amp;DATA_KO!H189,"")</f>
        <v/>
      </c>
      <c r="G198" s="273">
        <f>IF(A198&lt;&gt;"",""&amp;DATA_KO!E189,"")</f>
        <v/>
      </c>
      <c r="H198" s="275">
        <f>IF(A198&lt;&gt;"","➔ Trace Lineage","")</f>
        <v/>
      </c>
    </row>
    <row r="199" ht="15.75" customHeight="1" s="132">
      <c r="A199" s="273">
        <f>IF(DATA_KO!A190&lt;&gt;"",""&amp;DATA_KO!A190,"")</f>
        <v/>
      </c>
      <c r="B199" s="273">
        <f>IF(A199&lt;&gt;"","KO","")</f>
        <v/>
      </c>
      <c r="C199" s="273">
        <f>IF(A199&lt;&gt;"",""&amp;DATA_KO!B190,"")</f>
        <v/>
      </c>
      <c r="D199" s="273">
        <f>IF(A199&lt;&gt;"",""&amp;DATA_KO!C190,"")</f>
        <v/>
      </c>
      <c r="E199" s="274">
        <f>IF(A199&lt;&gt;"",DATA_KO!G190,"")</f>
        <v/>
      </c>
      <c r="F199" s="273">
        <f>IF(A199&lt;&gt;"",""&amp;DATA_KO!H190,"")</f>
        <v/>
      </c>
      <c r="G199" s="273">
        <f>IF(A199&lt;&gt;"",""&amp;DATA_KO!E190,"")</f>
        <v/>
      </c>
      <c r="H199" s="275">
        <f>IF(A199&lt;&gt;"","➔ Trace Lineage","")</f>
        <v/>
      </c>
    </row>
    <row r="200" ht="15.75" customHeight="1" s="132">
      <c r="A200" s="273">
        <f>IF(DATA_KO!A191&lt;&gt;"",""&amp;DATA_KO!A191,"")</f>
        <v/>
      </c>
      <c r="B200" s="273">
        <f>IF(A200&lt;&gt;"","KO","")</f>
        <v/>
      </c>
      <c r="C200" s="273">
        <f>IF(A200&lt;&gt;"",""&amp;DATA_KO!B191,"")</f>
        <v/>
      </c>
      <c r="D200" s="273">
        <f>IF(A200&lt;&gt;"",""&amp;DATA_KO!C191,"")</f>
        <v/>
      </c>
      <c r="E200" s="274">
        <f>IF(A200&lt;&gt;"",DATA_KO!G191,"")</f>
        <v/>
      </c>
      <c r="F200" s="273">
        <f>IF(A200&lt;&gt;"",""&amp;DATA_KO!H191,"")</f>
        <v/>
      </c>
      <c r="G200" s="273">
        <f>IF(A200&lt;&gt;"",""&amp;DATA_KO!E191,"")</f>
        <v/>
      </c>
      <c r="H200" s="275">
        <f>IF(A200&lt;&gt;"","➔ Trace Lineage","")</f>
        <v/>
      </c>
    </row>
    <row r="201" ht="15.75" customHeight="1" s="132">
      <c r="A201" s="273">
        <f>IF(DATA_KO!A192&lt;&gt;"",""&amp;DATA_KO!A192,"")</f>
        <v/>
      </c>
      <c r="B201" s="273">
        <f>IF(A201&lt;&gt;"","KO","")</f>
        <v/>
      </c>
      <c r="C201" s="273">
        <f>IF(A201&lt;&gt;"",""&amp;DATA_KO!B192,"")</f>
        <v/>
      </c>
      <c r="D201" s="273">
        <f>IF(A201&lt;&gt;"",""&amp;DATA_KO!C192,"")</f>
        <v/>
      </c>
      <c r="E201" s="274">
        <f>IF(A201&lt;&gt;"",DATA_KO!G192,"")</f>
        <v/>
      </c>
      <c r="F201" s="273">
        <f>IF(A201&lt;&gt;"",""&amp;DATA_KO!H192,"")</f>
        <v/>
      </c>
      <c r="G201" s="273">
        <f>IF(A201&lt;&gt;"",""&amp;DATA_KO!E192,"")</f>
        <v/>
      </c>
      <c r="H201" s="275">
        <f>IF(A201&lt;&gt;"","➔ Trace Lineage","")</f>
        <v/>
      </c>
    </row>
    <row r="202" ht="15.75" customHeight="1" s="132">
      <c r="A202" s="273">
        <f>IF(DATA_KO!A193&lt;&gt;"",""&amp;DATA_KO!A193,"")</f>
        <v/>
      </c>
      <c r="B202" s="273">
        <f>IF(A202&lt;&gt;"","KO","")</f>
        <v/>
      </c>
      <c r="C202" s="273">
        <f>IF(A202&lt;&gt;"",""&amp;DATA_KO!B193,"")</f>
        <v/>
      </c>
      <c r="D202" s="273">
        <f>IF(A202&lt;&gt;"",""&amp;DATA_KO!C193,"")</f>
        <v/>
      </c>
      <c r="E202" s="274">
        <f>IF(A202&lt;&gt;"",DATA_KO!G193,"")</f>
        <v/>
      </c>
      <c r="F202" s="273">
        <f>IF(A202&lt;&gt;"",""&amp;DATA_KO!H193,"")</f>
        <v/>
      </c>
      <c r="G202" s="273">
        <f>IF(A202&lt;&gt;"",""&amp;DATA_KO!E193,"")</f>
        <v/>
      </c>
      <c r="H202" s="275">
        <f>IF(A202&lt;&gt;"","➔ Trace Lineage","")</f>
        <v/>
      </c>
    </row>
    <row r="203" ht="15.75" customHeight="1" s="132">
      <c r="A203" s="273">
        <f>IF(DATA_KO!A194&lt;&gt;"",""&amp;DATA_KO!A194,"")</f>
        <v/>
      </c>
      <c r="B203" s="273">
        <f>IF(A203&lt;&gt;"","KO","")</f>
        <v/>
      </c>
      <c r="C203" s="273">
        <f>IF(A203&lt;&gt;"",""&amp;DATA_KO!B194,"")</f>
        <v/>
      </c>
      <c r="D203" s="273">
        <f>IF(A203&lt;&gt;"",""&amp;DATA_KO!C194,"")</f>
        <v/>
      </c>
      <c r="E203" s="274">
        <f>IF(A203&lt;&gt;"",DATA_KO!G194,"")</f>
        <v/>
      </c>
      <c r="F203" s="273">
        <f>IF(A203&lt;&gt;"",""&amp;DATA_KO!H194,"")</f>
        <v/>
      </c>
      <c r="G203" s="273">
        <f>IF(A203&lt;&gt;"",""&amp;DATA_KO!E194,"")</f>
        <v/>
      </c>
      <c r="H203" s="275">
        <f>IF(A203&lt;&gt;"","➔ Trace Lineage","")</f>
        <v/>
      </c>
    </row>
    <row r="204" ht="15.75" customHeight="1" s="132">
      <c r="A204" s="273">
        <f>IF(DATA_KO!A195&lt;&gt;"",""&amp;DATA_KO!A195,"")</f>
        <v/>
      </c>
      <c r="B204" s="273">
        <f>IF(A204&lt;&gt;"","KO","")</f>
        <v/>
      </c>
      <c r="C204" s="273">
        <f>IF(A204&lt;&gt;"",""&amp;DATA_KO!B195,"")</f>
        <v/>
      </c>
      <c r="D204" s="273">
        <f>IF(A204&lt;&gt;"",""&amp;DATA_KO!C195,"")</f>
        <v/>
      </c>
      <c r="E204" s="274">
        <f>IF(A204&lt;&gt;"",DATA_KO!G195,"")</f>
        <v/>
      </c>
      <c r="F204" s="273">
        <f>IF(A204&lt;&gt;"",""&amp;DATA_KO!H195,"")</f>
        <v/>
      </c>
      <c r="G204" s="273">
        <f>IF(A204&lt;&gt;"",""&amp;DATA_KO!E195,"")</f>
        <v/>
      </c>
      <c r="H204" s="275">
        <f>IF(A204&lt;&gt;"","➔ Trace Lineage","")</f>
        <v/>
      </c>
    </row>
    <row r="205" ht="15.75" customHeight="1" s="132">
      <c r="A205" s="273">
        <f>IF(DATA_KO!A196&lt;&gt;"",""&amp;DATA_KO!A196,"")</f>
        <v/>
      </c>
      <c r="B205" s="273">
        <f>IF(A205&lt;&gt;"","KO","")</f>
        <v/>
      </c>
      <c r="C205" s="273">
        <f>IF(A205&lt;&gt;"",""&amp;DATA_KO!B196,"")</f>
        <v/>
      </c>
      <c r="D205" s="273">
        <f>IF(A205&lt;&gt;"",""&amp;DATA_KO!C196,"")</f>
        <v/>
      </c>
      <c r="E205" s="274">
        <f>IF(A205&lt;&gt;"",DATA_KO!G196,"")</f>
        <v/>
      </c>
      <c r="F205" s="273">
        <f>IF(A205&lt;&gt;"",""&amp;DATA_KO!H196,"")</f>
        <v/>
      </c>
      <c r="G205" s="273">
        <f>IF(A205&lt;&gt;"",""&amp;DATA_KO!E196,"")</f>
        <v/>
      </c>
      <c r="H205" s="275">
        <f>IF(A205&lt;&gt;"","➔ Trace Lineage","")</f>
        <v/>
      </c>
    </row>
    <row r="206" ht="15.75" customHeight="1" s="132">
      <c r="A206" s="273">
        <f>IF(DATA_KO!A197&lt;&gt;"",""&amp;DATA_KO!A197,"")</f>
        <v/>
      </c>
      <c r="B206" s="273">
        <f>IF(A206&lt;&gt;"","KO","")</f>
        <v/>
      </c>
      <c r="C206" s="273">
        <f>IF(A206&lt;&gt;"",""&amp;DATA_KO!B197,"")</f>
        <v/>
      </c>
      <c r="D206" s="273">
        <f>IF(A206&lt;&gt;"",""&amp;DATA_KO!C197,"")</f>
        <v/>
      </c>
      <c r="E206" s="274">
        <f>IF(A206&lt;&gt;"",DATA_KO!G197,"")</f>
        <v/>
      </c>
      <c r="F206" s="273">
        <f>IF(A206&lt;&gt;"",""&amp;DATA_KO!H197,"")</f>
        <v/>
      </c>
      <c r="G206" s="273">
        <f>IF(A206&lt;&gt;"",""&amp;DATA_KO!E197,"")</f>
        <v/>
      </c>
      <c r="H206" s="275">
        <f>IF(A206&lt;&gt;"","➔ Trace Lineage","")</f>
        <v/>
      </c>
    </row>
    <row r="207" ht="15.75" customHeight="1" s="132">
      <c r="A207" s="273">
        <f>IF(DATA_KO!A198&lt;&gt;"",""&amp;DATA_KO!A198,"")</f>
        <v/>
      </c>
      <c r="B207" s="273">
        <f>IF(A207&lt;&gt;"","KO","")</f>
        <v/>
      </c>
      <c r="C207" s="273">
        <f>IF(A207&lt;&gt;"",""&amp;DATA_KO!B198,"")</f>
        <v/>
      </c>
      <c r="D207" s="273">
        <f>IF(A207&lt;&gt;"",""&amp;DATA_KO!C198,"")</f>
        <v/>
      </c>
      <c r="E207" s="274">
        <f>IF(A207&lt;&gt;"",DATA_KO!G198,"")</f>
        <v/>
      </c>
      <c r="F207" s="273">
        <f>IF(A207&lt;&gt;"",""&amp;DATA_KO!H198,"")</f>
        <v/>
      </c>
      <c r="G207" s="273">
        <f>IF(A207&lt;&gt;"",""&amp;DATA_KO!E198,"")</f>
        <v/>
      </c>
      <c r="H207" s="275">
        <f>IF(A207&lt;&gt;"","➔ Trace Lineage","")</f>
        <v/>
      </c>
    </row>
    <row r="208" ht="15.75" customHeight="1" s="132">
      <c r="A208" s="273">
        <f>IF(DATA_KO!A199&lt;&gt;"",""&amp;DATA_KO!A199,"")</f>
        <v/>
      </c>
      <c r="B208" s="273">
        <f>IF(A208&lt;&gt;"","KO","")</f>
        <v/>
      </c>
      <c r="C208" s="273">
        <f>IF(A208&lt;&gt;"",""&amp;DATA_KO!B199,"")</f>
        <v/>
      </c>
      <c r="D208" s="273">
        <f>IF(A208&lt;&gt;"",""&amp;DATA_KO!C199,"")</f>
        <v/>
      </c>
      <c r="E208" s="274">
        <f>IF(A208&lt;&gt;"",DATA_KO!G199,"")</f>
        <v/>
      </c>
      <c r="F208" s="273">
        <f>IF(A208&lt;&gt;"",""&amp;DATA_KO!H199,"")</f>
        <v/>
      </c>
      <c r="G208" s="273">
        <f>IF(A208&lt;&gt;"",""&amp;DATA_KO!E199,"")</f>
        <v/>
      </c>
      <c r="H208" s="275">
        <f>IF(A208&lt;&gt;"","➔ Trace Lineage","")</f>
        <v/>
      </c>
    </row>
    <row r="209" ht="15.75" customHeight="1" s="132">
      <c r="A209" s="273">
        <f>IF(DATA_KO!A200&lt;&gt;"",""&amp;DATA_KO!A200,"")</f>
        <v/>
      </c>
      <c r="B209" s="273">
        <f>IF(A209&lt;&gt;"","KO","")</f>
        <v/>
      </c>
      <c r="C209" s="273">
        <f>IF(A209&lt;&gt;"",""&amp;DATA_KO!B200,"")</f>
        <v/>
      </c>
      <c r="D209" s="273">
        <f>IF(A209&lt;&gt;"",""&amp;DATA_KO!C200,"")</f>
        <v/>
      </c>
      <c r="E209" s="274">
        <f>IF(A209&lt;&gt;"",DATA_KO!G200,"")</f>
        <v/>
      </c>
      <c r="F209" s="273">
        <f>IF(A209&lt;&gt;"",""&amp;DATA_KO!H200,"")</f>
        <v/>
      </c>
      <c r="G209" s="273">
        <f>IF(A209&lt;&gt;"",""&amp;DATA_KO!E200,"")</f>
        <v/>
      </c>
      <c r="H209" s="275">
        <f>IF(A209&lt;&gt;"","➔ Trace Lineage","")</f>
        <v/>
      </c>
    </row>
    <row r="210" ht="15.75" customHeight="1" s="132">
      <c r="A210" s="273">
        <f>IF(DATA_KO!A201&lt;&gt;"",""&amp;DATA_KO!A201,"")</f>
        <v/>
      </c>
      <c r="B210" s="273">
        <f>IF(A210&lt;&gt;"","KO","")</f>
        <v/>
      </c>
      <c r="C210" s="273">
        <f>IF(A210&lt;&gt;"",""&amp;DATA_KO!B201,"")</f>
        <v/>
      </c>
      <c r="D210" s="273">
        <f>IF(A210&lt;&gt;"",""&amp;DATA_KO!C201,"")</f>
        <v/>
      </c>
      <c r="E210" s="274">
        <f>IF(A210&lt;&gt;"",DATA_KO!G201,"")</f>
        <v/>
      </c>
      <c r="F210" s="273">
        <f>IF(A210&lt;&gt;"",""&amp;DATA_KO!H201,"")</f>
        <v/>
      </c>
      <c r="G210" s="273">
        <f>IF(A210&lt;&gt;"",""&amp;DATA_KO!E201,"")</f>
        <v/>
      </c>
      <c r="H210" s="275">
        <f>IF(A210&lt;&gt;"","➔ Trace Lineage","")</f>
        <v/>
      </c>
    </row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autoFilter ref="$A$4:$H$100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cols>
    <col width="32" customWidth="1" style="132" min="1" max="1"/>
    <col width="12" customWidth="1" style="132" min="2" max="2"/>
    <col width="50" customWidth="1" style="132" min="3" max="3"/>
    <col width="30" customWidth="1" style="132" min="4" max="4"/>
    <col width="14" customWidth="1" style="132" min="5" max="5"/>
    <col width="18" customWidth="1" style="132" min="6" max="6"/>
    <col width="25" customWidth="1" style="132" min="7" max="7"/>
    <col width="35" customWidth="1" style="132" min="8" max="8"/>
    <col width="35" customWidth="1" style="132" min="9" max="9"/>
    <col width="18" customWidth="1" style="132" min="10" max="10"/>
  </cols>
  <sheetData>
    <row r="1">
      <c r="A1" s="276" t="inlineStr">
        <is>
          <t>RESEARCH INTELLIGENCE ENGINE (RIE) — KNOWLEDGE OBJECT (KO) REGISTRY</t>
        </is>
      </c>
      <c r="G1" s="277">
        <f>HYPERLINK("#'01_Executive_Dashboard'!A1", "⮌ BACK TO DASHBOARD")</f>
        <v/>
      </c>
      <c r="H1" s="277">
        <f>HYPERLINK("#'02B_IO_Registry'!A1", "➔ IO REGISTRY")</f>
        <v/>
      </c>
      <c r="I1" s="277">
        <f>HYPERLINK("#'02C_EO_Registry'!A1", "➔ EO REGISTRY")</f>
        <v/>
      </c>
      <c r="J1" s="277">
        <f>HYPERLINK("#'04_Lineage_Explorer'!A1", "➔ LINEAGE EXPLORER")</f>
        <v/>
      </c>
    </row>
    <row r="2">
      <c r="A2" s="261">
        <f>"Authoritative Knowledge Objects (" &amp; COUNTA(DATA_KO!A2:A1000) &amp; " KOs) | Substrate Dynamic Projection"</f>
        <v/>
      </c>
    </row>
    <row r="3"/>
    <row r="4" ht="24" customHeight="1" s="132">
      <c r="A4" s="278" t="inlineStr">
        <is>
          <t>Object_ID</t>
        </is>
      </c>
      <c r="B4" s="278" t="inlineStr">
        <is>
          <t>Object_Type</t>
        </is>
      </c>
      <c r="C4" s="278" t="inlineStr">
        <is>
          <t>Concept Title</t>
        </is>
      </c>
      <c r="D4" s="278" t="inlineStr">
        <is>
          <t>Domain</t>
        </is>
      </c>
      <c r="E4" s="278" t="inlineStr">
        <is>
          <t>Confidence</t>
        </is>
      </c>
      <c r="F4" s="278" t="inlineStr">
        <is>
          <t>Review Status</t>
        </is>
      </c>
      <c r="G4" s="278" t="inlineStr">
        <is>
          <t>Origin Source</t>
        </is>
      </c>
      <c r="H4" s="278" t="inlineStr">
        <is>
          <t>Supporting EOs</t>
        </is>
      </c>
      <c r="I4" s="278" t="inlineStr">
        <is>
          <t>Supporting IOs</t>
        </is>
      </c>
      <c r="J4" s="278" t="inlineStr">
        <is>
          <t>Lineage Action</t>
        </is>
      </c>
    </row>
    <row r="5">
      <c r="A5" s="273">
        <f>IF(DATA_KO!A2&lt;&gt;"",""&amp;DATA_KO!A2,"")</f>
        <v/>
      </c>
      <c r="B5" s="273">
        <f>IF(A5&lt;&gt;"","KO","")</f>
        <v/>
      </c>
      <c r="C5" s="273">
        <f>IF(A5&lt;&gt;"",""&amp;DATA_KO!B2,"")</f>
        <v/>
      </c>
      <c r="D5" s="273">
        <f>IF(A5&lt;&gt;"",""&amp;DATA_KO!C2,"")</f>
        <v/>
      </c>
      <c r="E5" s="274">
        <f>IF(A5&lt;&gt;"",DATA_KO!G2,"")</f>
        <v/>
      </c>
      <c r="F5" s="273">
        <f>IF(A5&lt;&gt;"",""&amp;DATA_KO!H2,"")</f>
        <v/>
      </c>
      <c r="G5" s="273">
        <f>IF(A5&lt;&gt;"",""&amp;DATA_KO!D2,"")</f>
        <v/>
      </c>
      <c r="H5" s="273">
        <f>IF(A5&lt;&gt;"",""&amp;DATA_KO!E2,"")</f>
        <v/>
      </c>
      <c r="I5" s="273">
        <f>IF(A5&lt;&gt;"",""&amp;DATA_KO!F2,"")</f>
        <v/>
      </c>
      <c r="J5" s="275">
        <f>IF(A5&lt;&gt;"","➔ Inspect Lineage","")</f>
        <v/>
      </c>
    </row>
    <row r="6">
      <c r="A6" s="273">
        <f>IF(DATA_KO!A3&lt;&gt;"",""&amp;DATA_KO!A3,"")</f>
        <v/>
      </c>
      <c r="B6" s="273">
        <f>IF(A6&lt;&gt;"","KO","")</f>
        <v/>
      </c>
      <c r="C6" s="273">
        <f>IF(A6&lt;&gt;"",""&amp;DATA_KO!B3,"")</f>
        <v/>
      </c>
      <c r="D6" s="273">
        <f>IF(A6&lt;&gt;"",""&amp;DATA_KO!C3,"")</f>
        <v/>
      </c>
      <c r="E6" s="274">
        <f>IF(A6&lt;&gt;"",DATA_KO!G3,"")</f>
        <v/>
      </c>
      <c r="F6" s="273">
        <f>IF(A6&lt;&gt;"",""&amp;DATA_KO!H3,"")</f>
        <v/>
      </c>
      <c r="G6" s="273">
        <f>IF(A6&lt;&gt;"",""&amp;DATA_KO!D3,"")</f>
        <v/>
      </c>
      <c r="H6" s="273">
        <f>IF(A6&lt;&gt;"",""&amp;DATA_KO!E3,"")</f>
        <v/>
      </c>
      <c r="I6" s="273">
        <f>IF(A6&lt;&gt;"",""&amp;DATA_KO!F3,"")</f>
        <v/>
      </c>
      <c r="J6" s="275">
        <f>IF(A6&lt;&gt;"","➔ Inspect Lineage","")</f>
        <v/>
      </c>
    </row>
    <row r="7">
      <c r="A7" s="273">
        <f>IF(DATA_KO!A4&lt;&gt;"",""&amp;DATA_KO!A4,"")</f>
        <v/>
      </c>
      <c r="B7" s="273">
        <f>IF(A7&lt;&gt;"","KO","")</f>
        <v/>
      </c>
      <c r="C7" s="273">
        <f>IF(A7&lt;&gt;"",""&amp;DATA_KO!B4,"")</f>
        <v/>
      </c>
      <c r="D7" s="273">
        <f>IF(A7&lt;&gt;"",""&amp;DATA_KO!C4,"")</f>
        <v/>
      </c>
      <c r="E7" s="274">
        <f>IF(A7&lt;&gt;"",DATA_KO!G4,"")</f>
        <v/>
      </c>
      <c r="F7" s="273">
        <f>IF(A7&lt;&gt;"",""&amp;DATA_KO!H4,"")</f>
        <v/>
      </c>
      <c r="G7" s="273">
        <f>IF(A7&lt;&gt;"",""&amp;DATA_KO!D4,"")</f>
        <v/>
      </c>
      <c r="H7" s="273">
        <f>IF(A7&lt;&gt;"",""&amp;DATA_KO!E4,"")</f>
        <v/>
      </c>
      <c r="I7" s="273">
        <f>IF(A7&lt;&gt;"",""&amp;DATA_KO!F4,"")</f>
        <v/>
      </c>
      <c r="J7" s="275">
        <f>IF(A7&lt;&gt;"","➔ Inspect Lineage","")</f>
        <v/>
      </c>
    </row>
    <row r="8">
      <c r="A8" s="273">
        <f>IF(DATA_KO!A5&lt;&gt;"",""&amp;DATA_KO!A5,"")</f>
        <v/>
      </c>
      <c r="B8" s="273">
        <f>IF(A8&lt;&gt;"","KO","")</f>
        <v/>
      </c>
      <c r="C8" s="273">
        <f>IF(A8&lt;&gt;"",""&amp;DATA_KO!B5,"")</f>
        <v/>
      </c>
      <c r="D8" s="273">
        <f>IF(A8&lt;&gt;"",""&amp;DATA_KO!C5,"")</f>
        <v/>
      </c>
      <c r="E8" s="274">
        <f>IF(A8&lt;&gt;"",DATA_KO!G5,"")</f>
        <v/>
      </c>
      <c r="F8" s="273">
        <f>IF(A8&lt;&gt;"",""&amp;DATA_KO!H5,"")</f>
        <v/>
      </c>
      <c r="G8" s="273">
        <f>IF(A8&lt;&gt;"",""&amp;DATA_KO!D5,"")</f>
        <v/>
      </c>
      <c r="H8" s="273">
        <f>IF(A8&lt;&gt;"",""&amp;DATA_KO!E5,"")</f>
        <v/>
      </c>
      <c r="I8" s="273">
        <f>IF(A8&lt;&gt;"",""&amp;DATA_KO!F5,"")</f>
        <v/>
      </c>
      <c r="J8" s="275">
        <f>IF(A8&lt;&gt;"","➔ Inspect Lineage","")</f>
        <v/>
      </c>
    </row>
    <row r="9">
      <c r="A9" s="273">
        <f>IF(DATA_KO!A6&lt;&gt;"",""&amp;DATA_KO!A6,"")</f>
        <v/>
      </c>
      <c r="B9" s="273">
        <f>IF(A9&lt;&gt;"","KO","")</f>
        <v/>
      </c>
      <c r="C9" s="273">
        <f>IF(A9&lt;&gt;"",""&amp;DATA_KO!B6,"")</f>
        <v/>
      </c>
      <c r="D9" s="273">
        <f>IF(A9&lt;&gt;"",""&amp;DATA_KO!C6,"")</f>
        <v/>
      </c>
      <c r="E9" s="274">
        <f>IF(A9&lt;&gt;"",DATA_KO!G6,"")</f>
        <v/>
      </c>
      <c r="F9" s="273">
        <f>IF(A9&lt;&gt;"",""&amp;DATA_KO!H6,"")</f>
        <v/>
      </c>
      <c r="G9" s="273">
        <f>IF(A9&lt;&gt;"",""&amp;DATA_KO!D6,"")</f>
        <v/>
      </c>
      <c r="H9" s="273">
        <f>IF(A9&lt;&gt;"",""&amp;DATA_KO!E6,"")</f>
        <v/>
      </c>
      <c r="I9" s="273">
        <f>IF(A9&lt;&gt;"",""&amp;DATA_KO!F6,"")</f>
        <v/>
      </c>
      <c r="J9" s="275">
        <f>IF(A9&lt;&gt;"","➔ Inspect Lineage","")</f>
        <v/>
      </c>
    </row>
    <row r="10">
      <c r="A10" s="273">
        <f>IF(DATA_KO!A7&lt;&gt;"",""&amp;DATA_KO!A7,"")</f>
        <v/>
      </c>
      <c r="B10" s="273">
        <f>IF(A10&lt;&gt;"","KO","")</f>
        <v/>
      </c>
      <c r="C10" s="273">
        <f>IF(A10&lt;&gt;"",""&amp;DATA_KO!B7,"")</f>
        <v/>
      </c>
      <c r="D10" s="273">
        <f>IF(A10&lt;&gt;"",""&amp;DATA_KO!C7,"")</f>
        <v/>
      </c>
      <c r="E10" s="274">
        <f>IF(A10&lt;&gt;"",DATA_KO!G7,"")</f>
        <v/>
      </c>
      <c r="F10" s="273">
        <f>IF(A10&lt;&gt;"",""&amp;DATA_KO!H7,"")</f>
        <v/>
      </c>
      <c r="G10" s="273">
        <f>IF(A10&lt;&gt;"",""&amp;DATA_KO!D7,"")</f>
        <v/>
      </c>
      <c r="H10" s="273">
        <f>IF(A10&lt;&gt;"",""&amp;DATA_KO!E7,"")</f>
        <v/>
      </c>
      <c r="I10" s="273">
        <f>IF(A10&lt;&gt;"",""&amp;DATA_KO!F7,"")</f>
        <v/>
      </c>
      <c r="J10" s="275">
        <f>IF(A10&lt;&gt;"","➔ Inspect Lineage","")</f>
        <v/>
      </c>
    </row>
    <row r="11">
      <c r="A11" s="273">
        <f>IF(DATA_KO!A8&lt;&gt;"",""&amp;DATA_KO!A8,"")</f>
        <v/>
      </c>
      <c r="B11" s="273">
        <f>IF(A11&lt;&gt;"","KO","")</f>
        <v/>
      </c>
      <c r="C11" s="273">
        <f>IF(A11&lt;&gt;"",""&amp;DATA_KO!B8,"")</f>
        <v/>
      </c>
      <c r="D11" s="273">
        <f>IF(A11&lt;&gt;"",""&amp;DATA_KO!C8,"")</f>
        <v/>
      </c>
      <c r="E11" s="274">
        <f>IF(A11&lt;&gt;"",DATA_KO!G8,"")</f>
        <v/>
      </c>
      <c r="F11" s="273">
        <f>IF(A11&lt;&gt;"",""&amp;DATA_KO!H8,"")</f>
        <v/>
      </c>
      <c r="G11" s="273">
        <f>IF(A11&lt;&gt;"",""&amp;DATA_KO!D8,"")</f>
        <v/>
      </c>
      <c r="H11" s="273">
        <f>IF(A11&lt;&gt;"",""&amp;DATA_KO!E8,"")</f>
        <v/>
      </c>
      <c r="I11" s="273">
        <f>IF(A11&lt;&gt;"",""&amp;DATA_KO!F8,"")</f>
        <v/>
      </c>
      <c r="J11" s="275">
        <f>IF(A11&lt;&gt;"","➔ Inspect Lineage","")</f>
        <v/>
      </c>
    </row>
    <row r="12">
      <c r="A12" s="273">
        <f>IF(DATA_KO!A9&lt;&gt;"",""&amp;DATA_KO!A9,"")</f>
        <v/>
      </c>
      <c r="B12" s="273">
        <f>IF(A12&lt;&gt;"","KO","")</f>
        <v/>
      </c>
      <c r="C12" s="273">
        <f>IF(A12&lt;&gt;"",""&amp;DATA_KO!B9,"")</f>
        <v/>
      </c>
      <c r="D12" s="273">
        <f>IF(A12&lt;&gt;"",""&amp;DATA_KO!C9,"")</f>
        <v/>
      </c>
      <c r="E12" s="274">
        <f>IF(A12&lt;&gt;"",DATA_KO!G9,"")</f>
        <v/>
      </c>
      <c r="F12" s="273">
        <f>IF(A12&lt;&gt;"",""&amp;DATA_KO!H9,"")</f>
        <v/>
      </c>
      <c r="G12" s="273">
        <f>IF(A12&lt;&gt;"",""&amp;DATA_KO!D9,"")</f>
        <v/>
      </c>
      <c r="H12" s="273">
        <f>IF(A12&lt;&gt;"",""&amp;DATA_KO!E9,"")</f>
        <v/>
      </c>
      <c r="I12" s="273">
        <f>IF(A12&lt;&gt;"",""&amp;DATA_KO!F9,"")</f>
        <v/>
      </c>
      <c r="J12" s="275">
        <f>IF(A12&lt;&gt;"","➔ Inspect Lineage","")</f>
        <v/>
      </c>
    </row>
    <row r="13">
      <c r="A13" s="273">
        <f>IF(DATA_KO!A10&lt;&gt;"",""&amp;DATA_KO!A10,"")</f>
        <v/>
      </c>
      <c r="B13" s="273">
        <f>IF(A13&lt;&gt;"","KO","")</f>
        <v/>
      </c>
      <c r="C13" s="273">
        <f>IF(A13&lt;&gt;"",""&amp;DATA_KO!B10,"")</f>
        <v/>
      </c>
      <c r="D13" s="273">
        <f>IF(A13&lt;&gt;"",""&amp;DATA_KO!C10,"")</f>
        <v/>
      </c>
      <c r="E13" s="274">
        <f>IF(A13&lt;&gt;"",DATA_KO!G10,"")</f>
        <v/>
      </c>
      <c r="F13" s="273">
        <f>IF(A13&lt;&gt;"",""&amp;DATA_KO!H10,"")</f>
        <v/>
      </c>
      <c r="G13" s="273">
        <f>IF(A13&lt;&gt;"",""&amp;DATA_KO!D10,"")</f>
        <v/>
      </c>
      <c r="H13" s="273">
        <f>IF(A13&lt;&gt;"",""&amp;DATA_KO!E10,"")</f>
        <v/>
      </c>
      <c r="I13" s="273">
        <f>IF(A13&lt;&gt;"",""&amp;DATA_KO!F10,"")</f>
        <v/>
      </c>
      <c r="J13" s="275">
        <f>IF(A13&lt;&gt;"","➔ Inspect Lineage","")</f>
        <v/>
      </c>
    </row>
    <row r="14">
      <c r="A14" s="273">
        <f>IF(DATA_KO!A11&lt;&gt;"",""&amp;DATA_KO!A11,"")</f>
        <v/>
      </c>
      <c r="B14" s="273">
        <f>IF(A14&lt;&gt;"","KO","")</f>
        <v/>
      </c>
      <c r="C14" s="273">
        <f>IF(A14&lt;&gt;"",""&amp;DATA_KO!B11,"")</f>
        <v/>
      </c>
      <c r="D14" s="273">
        <f>IF(A14&lt;&gt;"",""&amp;DATA_KO!C11,"")</f>
        <v/>
      </c>
      <c r="E14" s="274">
        <f>IF(A14&lt;&gt;"",DATA_KO!G11,"")</f>
        <v/>
      </c>
      <c r="F14" s="273">
        <f>IF(A14&lt;&gt;"",""&amp;DATA_KO!H11,"")</f>
        <v/>
      </c>
      <c r="G14" s="273">
        <f>IF(A14&lt;&gt;"",""&amp;DATA_KO!D11,"")</f>
        <v/>
      </c>
      <c r="H14" s="273">
        <f>IF(A14&lt;&gt;"",""&amp;DATA_KO!E11,"")</f>
        <v/>
      </c>
      <c r="I14" s="273">
        <f>IF(A14&lt;&gt;"",""&amp;DATA_KO!F11,"")</f>
        <v/>
      </c>
      <c r="J14" s="275">
        <f>IF(A14&lt;&gt;"","➔ Inspect Lineage","")</f>
        <v/>
      </c>
    </row>
    <row r="15">
      <c r="A15" s="273">
        <f>IF(DATA_KO!A12&lt;&gt;"",""&amp;DATA_KO!A12,"")</f>
        <v/>
      </c>
      <c r="B15" s="273">
        <f>IF(A15&lt;&gt;"","KO","")</f>
        <v/>
      </c>
      <c r="C15" s="273">
        <f>IF(A15&lt;&gt;"",""&amp;DATA_KO!B12,"")</f>
        <v/>
      </c>
      <c r="D15" s="273">
        <f>IF(A15&lt;&gt;"",""&amp;DATA_KO!C12,"")</f>
        <v/>
      </c>
      <c r="E15" s="274">
        <f>IF(A15&lt;&gt;"",DATA_KO!G12,"")</f>
        <v/>
      </c>
      <c r="F15" s="273">
        <f>IF(A15&lt;&gt;"",""&amp;DATA_KO!H12,"")</f>
        <v/>
      </c>
      <c r="G15" s="273">
        <f>IF(A15&lt;&gt;"",""&amp;DATA_KO!D12,"")</f>
        <v/>
      </c>
      <c r="H15" s="273">
        <f>IF(A15&lt;&gt;"",""&amp;DATA_KO!E12,"")</f>
        <v/>
      </c>
      <c r="I15" s="273">
        <f>IF(A15&lt;&gt;"",""&amp;DATA_KO!F12,"")</f>
        <v/>
      </c>
      <c r="J15" s="275">
        <f>IF(A15&lt;&gt;"","➔ Inspect Lineage","")</f>
        <v/>
      </c>
    </row>
    <row r="16">
      <c r="A16" s="273">
        <f>IF(DATA_KO!A13&lt;&gt;"",""&amp;DATA_KO!A13,"")</f>
        <v/>
      </c>
      <c r="B16" s="273">
        <f>IF(A16&lt;&gt;"","KO","")</f>
        <v/>
      </c>
      <c r="C16" s="273">
        <f>IF(A16&lt;&gt;"",""&amp;DATA_KO!B13,"")</f>
        <v/>
      </c>
      <c r="D16" s="273">
        <f>IF(A16&lt;&gt;"",""&amp;DATA_KO!C13,"")</f>
        <v/>
      </c>
      <c r="E16" s="274">
        <f>IF(A16&lt;&gt;"",DATA_KO!G13,"")</f>
        <v/>
      </c>
      <c r="F16" s="273">
        <f>IF(A16&lt;&gt;"",""&amp;DATA_KO!H13,"")</f>
        <v/>
      </c>
      <c r="G16" s="273">
        <f>IF(A16&lt;&gt;"",""&amp;DATA_KO!D13,"")</f>
        <v/>
      </c>
      <c r="H16" s="273">
        <f>IF(A16&lt;&gt;"",""&amp;DATA_KO!E13,"")</f>
        <v/>
      </c>
      <c r="I16" s="273">
        <f>IF(A16&lt;&gt;"",""&amp;DATA_KO!F13,"")</f>
        <v/>
      </c>
      <c r="J16" s="275">
        <f>IF(A16&lt;&gt;"","➔ Inspect Lineage","")</f>
        <v/>
      </c>
    </row>
    <row r="17">
      <c r="A17" s="273">
        <f>IF(DATA_KO!A14&lt;&gt;"",""&amp;DATA_KO!A14,"")</f>
        <v/>
      </c>
      <c r="B17" s="273">
        <f>IF(A17&lt;&gt;"","KO","")</f>
        <v/>
      </c>
      <c r="C17" s="273">
        <f>IF(A17&lt;&gt;"",""&amp;DATA_KO!B14,"")</f>
        <v/>
      </c>
      <c r="D17" s="273">
        <f>IF(A17&lt;&gt;"",""&amp;DATA_KO!C14,"")</f>
        <v/>
      </c>
      <c r="E17" s="274">
        <f>IF(A17&lt;&gt;"",DATA_KO!G14,"")</f>
        <v/>
      </c>
      <c r="F17" s="273">
        <f>IF(A17&lt;&gt;"",""&amp;DATA_KO!H14,"")</f>
        <v/>
      </c>
      <c r="G17" s="273">
        <f>IF(A17&lt;&gt;"",""&amp;DATA_KO!D14,"")</f>
        <v/>
      </c>
      <c r="H17" s="273">
        <f>IF(A17&lt;&gt;"",""&amp;DATA_KO!E14,"")</f>
        <v/>
      </c>
      <c r="I17" s="273">
        <f>IF(A17&lt;&gt;"",""&amp;DATA_KO!F14,"")</f>
        <v/>
      </c>
      <c r="J17" s="275">
        <f>IF(A17&lt;&gt;"","➔ Inspect Lineage","")</f>
        <v/>
      </c>
    </row>
    <row r="18">
      <c r="A18" s="273">
        <f>IF(DATA_KO!A15&lt;&gt;"",""&amp;DATA_KO!A15,"")</f>
        <v/>
      </c>
      <c r="B18" s="273">
        <f>IF(A18&lt;&gt;"","KO","")</f>
        <v/>
      </c>
      <c r="C18" s="273">
        <f>IF(A18&lt;&gt;"",""&amp;DATA_KO!B15,"")</f>
        <v/>
      </c>
      <c r="D18" s="273">
        <f>IF(A18&lt;&gt;"",""&amp;DATA_KO!C15,"")</f>
        <v/>
      </c>
      <c r="E18" s="274">
        <f>IF(A18&lt;&gt;"",DATA_KO!G15,"")</f>
        <v/>
      </c>
      <c r="F18" s="273">
        <f>IF(A18&lt;&gt;"",""&amp;DATA_KO!H15,"")</f>
        <v/>
      </c>
      <c r="G18" s="273">
        <f>IF(A18&lt;&gt;"",""&amp;DATA_KO!D15,"")</f>
        <v/>
      </c>
      <c r="H18" s="273">
        <f>IF(A18&lt;&gt;"",""&amp;DATA_KO!E15,"")</f>
        <v/>
      </c>
      <c r="I18" s="273">
        <f>IF(A18&lt;&gt;"",""&amp;DATA_KO!F15,"")</f>
        <v/>
      </c>
      <c r="J18" s="275">
        <f>IF(A18&lt;&gt;"","➔ Inspect Lineage","")</f>
        <v/>
      </c>
    </row>
    <row r="19">
      <c r="A19" s="273">
        <f>IF(DATA_KO!A16&lt;&gt;"",""&amp;DATA_KO!A16,"")</f>
        <v/>
      </c>
      <c r="B19" s="273">
        <f>IF(A19&lt;&gt;"","KO","")</f>
        <v/>
      </c>
      <c r="C19" s="273">
        <f>IF(A19&lt;&gt;"",""&amp;DATA_KO!B16,"")</f>
        <v/>
      </c>
      <c r="D19" s="273">
        <f>IF(A19&lt;&gt;"",""&amp;DATA_KO!C16,"")</f>
        <v/>
      </c>
      <c r="E19" s="274">
        <f>IF(A19&lt;&gt;"",DATA_KO!G16,"")</f>
        <v/>
      </c>
      <c r="F19" s="273">
        <f>IF(A19&lt;&gt;"",""&amp;DATA_KO!H16,"")</f>
        <v/>
      </c>
      <c r="G19" s="273">
        <f>IF(A19&lt;&gt;"",""&amp;DATA_KO!D16,"")</f>
        <v/>
      </c>
      <c r="H19" s="273">
        <f>IF(A19&lt;&gt;"",""&amp;DATA_KO!E16,"")</f>
        <v/>
      </c>
      <c r="I19" s="273">
        <f>IF(A19&lt;&gt;"",""&amp;DATA_KO!F16,"")</f>
        <v/>
      </c>
      <c r="J19" s="275">
        <f>IF(A19&lt;&gt;"","➔ Inspect Lineage","")</f>
        <v/>
      </c>
    </row>
    <row r="20">
      <c r="A20" s="273">
        <f>IF(DATA_KO!A17&lt;&gt;"",""&amp;DATA_KO!A17,"")</f>
        <v/>
      </c>
      <c r="B20" s="273">
        <f>IF(A20&lt;&gt;"","KO","")</f>
        <v/>
      </c>
      <c r="C20" s="273">
        <f>IF(A20&lt;&gt;"",""&amp;DATA_KO!B17,"")</f>
        <v/>
      </c>
      <c r="D20" s="273">
        <f>IF(A20&lt;&gt;"",""&amp;DATA_KO!C17,"")</f>
        <v/>
      </c>
      <c r="E20" s="274">
        <f>IF(A20&lt;&gt;"",DATA_KO!G17,"")</f>
        <v/>
      </c>
      <c r="F20" s="273">
        <f>IF(A20&lt;&gt;"",""&amp;DATA_KO!H17,"")</f>
        <v/>
      </c>
      <c r="G20" s="273">
        <f>IF(A20&lt;&gt;"",""&amp;DATA_KO!D17,"")</f>
        <v/>
      </c>
      <c r="H20" s="273">
        <f>IF(A20&lt;&gt;"",""&amp;DATA_KO!E17,"")</f>
        <v/>
      </c>
      <c r="I20" s="273">
        <f>IF(A20&lt;&gt;"",""&amp;DATA_KO!F17,"")</f>
        <v/>
      </c>
      <c r="J20" s="275">
        <f>IF(A20&lt;&gt;"","➔ Inspect Lineage","")</f>
        <v/>
      </c>
    </row>
    <row r="21">
      <c r="A21" s="273">
        <f>IF(DATA_KO!A18&lt;&gt;"",""&amp;DATA_KO!A18,"")</f>
        <v/>
      </c>
      <c r="B21" s="273">
        <f>IF(A21&lt;&gt;"","KO","")</f>
        <v/>
      </c>
      <c r="C21" s="273">
        <f>IF(A21&lt;&gt;"",""&amp;DATA_KO!B18,"")</f>
        <v/>
      </c>
      <c r="D21" s="273">
        <f>IF(A21&lt;&gt;"",""&amp;DATA_KO!C18,"")</f>
        <v/>
      </c>
      <c r="E21" s="274">
        <f>IF(A21&lt;&gt;"",DATA_KO!G18,"")</f>
        <v/>
      </c>
      <c r="F21" s="273">
        <f>IF(A21&lt;&gt;"",""&amp;DATA_KO!H18,"")</f>
        <v/>
      </c>
      <c r="G21" s="273">
        <f>IF(A21&lt;&gt;"",""&amp;DATA_KO!D18,"")</f>
        <v/>
      </c>
      <c r="H21" s="273">
        <f>IF(A21&lt;&gt;"",""&amp;DATA_KO!E18,"")</f>
        <v/>
      </c>
      <c r="I21" s="273">
        <f>IF(A21&lt;&gt;"",""&amp;DATA_KO!F18,"")</f>
        <v/>
      </c>
      <c r="J21" s="275">
        <f>IF(A21&lt;&gt;"","➔ Inspect Lineage","")</f>
        <v/>
      </c>
    </row>
    <row r="22">
      <c r="A22" s="273">
        <f>IF(DATA_KO!A19&lt;&gt;"",""&amp;DATA_KO!A19,"")</f>
        <v/>
      </c>
      <c r="B22" s="273">
        <f>IF(A22&lt;&gt;"","KO","")</f>
        <v/>
      </c>
      <c r="C22" s="273">
        <f>IF(A22&lt;&gt;"",""&amp;DATA_KO!B19,"")</f>
        <v/>
      </c>
      <c r="D22" s="273">
        <f>IF(A22&lt;&gt;"",""&amp;DATA_KO!C19,"")</f>
        <v/>
      </c>
      <c r="E22" s="274">
        <f>IF(A22&lt;&gt;"",DATA_KO!G19,"")</f>
        <v/>
      </c>
      <c r="F22" s="273">
        <f>IF(A22&lt;&gt;"",""&amp;DATA_KO!H19,"")</f>
        <v/>
      </c>
      <c r="G22" s="273">
        <f>IF(A22&lt;&gt;"",""&amp;DATA_KO!D19,"")</f>
        <v/>
      </c>
      <c r="H22" s="273">
        <f>IF(A22&lt;&gt;"",""&amp;DATA_KO!E19,"")</f>
        <v/>
      </c>
      <c r="I22" s="273">
        <f>IF(A22&lt;&gt;"",""&amp;DATA_KO!F19,"")</f>
        <v/>
      </c>
      <c r="J22" s="275">
        <f>IF(A22&lt;&gt;"","➔ Inspect Lineage","")</f>
        <v/>
      </c>
    </row>
    <row r="23">
      <c r="A23" s="273">
        <f>IF(DATA_KO!A20&lt;&gt;"",""&amp;DATA_KO!A20,"")</f>
        <v/>
      </c>
      <c r="B23" s="273">
        <f>IF(A23&lt;&gt;"","KO","")</f>
        <v/>
      </c>
      <c r="C23" s="273">
        <f>IF(A23&lt;&gt;"",""&amp;DATA_KO!B20,"")</f>
        <v/>
      </c>
      <c r="D23" s="273">
        <f>IF(A23&lt;&gt;"",""&amp;DATA_KO!C20,"")</f>
        <v/>
      </c>
      <c r="E23" s="274">
        <f>IF(A23&lt;&gt;"",DATA_KO!G20,"")</f>
        <v/>
      </c>
      <c r="F23" s="273">
        <f>IF(A23&lt;&gt;"",""&amp;DATA_KO!H20,"")</f>
        <v/>
      </c>
      <c r="G23" s="273">
        <f>IF(A23&lt;&gt;"",""&amp;DATA_KO!D20,"")</f>
        <v/>
      </c>
      <c r="H23" s="273">
        <f>IF(A23&lt;&gt;"",""&amp;DATA_KO!E20,"")</f>
        <v/>
      </c>
      <c r="I23" s="273">
        <f>IF(A23&lt;&gt;"",""&amp;DATA_KO!F20,"")</f>
        <v/>
      </c>
      <c r="J23" s="275">
        <f>IF(A23&lt;&gt;"","➔ Inspect Lineage","")</f>
        <v/>
      </c>
    </row>
    <row r="24">
      <c r="A24" s="273">
        <f>IF(DATA_KO!A21&lt;&gt;"",""&amp;DATA_KO!A21,"")</f>
        <v/>
      </c>
      <c r="B24" s="273">
        <f>IF(A24&lt;&gt;"","KO","")</f>
        <v/>
      </c>
      <c r="C24" s="273">
        <f>IF(A24&lt;&gt;"",""&amp;DATA_KO!B21,"")</f>
        <v/>
      </c>
      <c r="D24" s="273">
        <f>IF(A24&lt;&gt;"",""&amp;DATA_KO!C21,"")</f>
        <v/>
      </c>
      <c r="E24" s="274">
        <f>IF(A24&lt;&gt;"",DATA_KO!G21,"")</f>
        <v/>
      </c>
      <c r="F24" s="273">
        <f>IF(A24&lt;&gt;"",""&amp;DATA_KO!H21,"")</f>
        <v/>
      </c>
      <c r="G24" s="273">
        <f>IF(A24&lt;&gt;"",""&amp;DATA_KO!D21,"")</f>
        <v/>
      </c>
      <c r="H24" s="273">
        <f>IF(A24&lt;&gt;"",""&amp;DATA_KO!E21,"")</f>
        <v/>
      </c>
      <c r="I24" s="273">
        <f>IF(A24&lt;&gt;"",""&amp;DATA_KO!F21,"")</f>
        <v/>
      </c>
      <c r="J24" s="275">
        <f>IF(A24&lt;&gt;"","➔ Inspect Lineage","")</f>
        <v/>
      </c>
    </row>
    <row r="25">
      <c r="A25" s="273">
        <f>IF(DATA_KO!A22&lt;&gt;"",""&amp;DATA_KO!A22,"")</f>
        <v/>
      </c>
      <c r="B25" s="273">
        <f>IF(A25&lt;&gt;"","KO","")</f>
        <v/>
      </c>
      <c r="C25" s="273">
        <f>IF(A25&lt;&gt;"",""&amp;DATA_KO!B22,"")</f>
        <v/>
      </c>
      <c r="D25" s="273">
        <f>IF(A25&lt;&gt;"",""&amp;DATA_KO!C22,"")</f>
        <v/>
      </c>
      <c r="E25" s="274">
        <f>IF(A25&lt;&gt;"",DATA_KO!G22,"")</f>
        <v/>
      </c>
      <c r="F25" s="273">
        <f>IF(A25&lt;&gt;"",""&amp;DATA_KO!H22,"")</f>
        <v/>
      </c>
      <c r="G25" s="273">
        <f>IF(A25&lt;&gt;"",""&amp;DATA_KO!D22,"")</f>
        <v/>
      </c>
      <c r="H25" s="273">
        <f>IF(A25&lt;&gt;"",""&amp;DATA_KO!E22,"")</f>
        <v/>
      </c>
      <c r="I25" s="273">
        <f>IF(A25&lt;&gt;"",""&amp;DATA_KO!F22,"")</f>
        <v/>
      </c>
      <c r="J25" s="275">
        <f>IF(A25&lt;&gt;"","➔ Inspect Lineage","")</f>
        <v/>
      </c>
    </row>
    <row r="26">
      <c r="A26" s="273">
        <f>IF(DATA_KO!A23&lt;&gt;"",""&amp;DATA_KO!A23,"")</f>
        <v/>
      </c>
      <c r="B26" s="273">
        <f>IF(A26&lt;&gt;"","KO","")</f>
        <v/>
      </c>
      <c r="C26" s="273">
        <f>IF(A26&lt;&gt;"",""&amp;DATA_KO!B23,"")</f>
        <v/>
      </c>
      <c r="D26" s="273">
        <f>IF(A26&lt;&gt;"",""&amp;DATA_KO!C23,"")</f>
        <v/>
      </c>
      <c r="E26" s="274">
        <f>IF(A26&lt;&gt;"",DATA_KO!G23,"")</f>
        <v/>
      </c>
      <c r="F26" s="273">
        <f>IF(A26&lt;&gt;"",""&amp;DATA_KO!H23,"")</f>
        <v/>
      </c>
      <c r="G26" s="273">
        <f>IF(A26&lt;&gt;"",""&amp;DATA_KO!D23,"")</f>
        <v/>
      </c>
      <c r="H26" s="273">
        <f>IF(A26&lt;&gt;"",""&amp;DATA_KO!E23,"")</f>
        <v/>
      </c>
      <c r="I26" s="273">
        <f>IF(A26&lt;&gt;"",""&amp;DATA_KO!F23,"")</f>
        <v/>
      </c>
      <c r="J26" s="275">
        <f>IF(A26&lt;&gt;"","➔ Inspect Lineage","")</f>
        <v/>
      </c>
    </row>
    <row r="27">
      <c r="A27" s="273">
        <f>IF(DATA_KO!A24&lt;&gt;"",""&amp;DATA_KO!A24,"")</f>
        <v/>
      </c>
      <c r="B27" s="273">
        <f>IF(A27&lt;&gt;"","KO","")</f>
        <v/>
      </c>
      <c r="C27" s="273">
        <f>IF(A27&lt;&gt;"",""&amp;DATA_KO!B24,"")</f>
        <v/>
      </c>
      <c r="D27" s="273">
        <f>IF(A27&lt;&gt;"",""&amp;DATA_KO!C24,"")</f>
        <v/>
      </c>
      <c r="E27" s="274">
        <f>IF(A27&lt;&gt;"",DATA_KO!G24,"")</f>
        <v/>
      </c>
      <c r="F27" s="273">
        <f>IF(A27&lt;&gt;"",""&amp;DATA_KO!H24,"")</f>
        <v/>
      </c>
      <c r="G27" s="273">
        <f>IF(A27&lt;&gt;"",""&amp;DATA_KO!D24,"")</f>
        <v/>
      </c>
      <c r="H27" s="273">
        <f>IF(A27&lt;&gt;"",""&amp;DATA_KO!E24,"")</f>
        <v/>
      </c>
      <c r="I27" s="273">
        <f>IF(A27&lt;&gt;"",""&amp;DATA_KO!F24,"")</f>
        <v/>
      </c>
      <c r="J27" s="275">
        <f>IF(A27&lt;&gt;"","➔ Inspect Lineage","")</f>
        <v/>
      </c>
    </row>
    <row r="28">
      <c r="A28" s="273">
        <f>IF(DATA_KO!A25&lt;&gt;"",""&amp;DATA_KO!A25,"")</f>
        <v/>
      </c>
      <c r="B28" s="273">
        <f>IF(A28&lt;&gt;"","KO","")</f>
        <v/>
      </c>
      <c r="C28" s="273">
        <f>IF(A28&lt;&gt;"",""&amp;DATA_KO!B25,"")</f>
        <v/>
      </c>
      <c r="D28" s="273">
        <f>IF(A28&lt;&gt;"",""&amp;DATA_KO!C25,"")</f>
        <v/>
      </c>
      <c r="E28" s="274">
        <f>IF(A28&lt;&gt;"",DATA_KO!G25,"")</f>
        <v/>
      </c>
      <c r="F28" s="273">
        <f>IF(A28&lt;&gt;"",""&amp;DATA_KO!H25,"")</f>
        <v/>
      </c>
      <c r="G28" s="273">
        <f>IF(A28&lt;&gt;"",""&amp;DATA_KO!D25,"")</f>
        <v/>
      </c>
      <c r="H28" s="273">
        <f>IF(A28&lt;&gt;"",""&amp;DATA_KO!E25,"")</f>
        <v/>
      </c>
      <c r="I28" s="273">
        <f>IF(A28&lt;&gt;"",""&amp;DATA_KO!F25,"")</f>
        <v/>
      </c>
      <c r="J28" s="275">
        <f>IF(A28&lt;&gt;"","➔ Inspect Lineage","")</f>
        <v/>
      </c>
    </row>
    <row r="29">
      <c r="A29" s="273">
        <f>IF(DATA_KO!A26&lt;&gt;"",""&amp;DATA_KO!A26,"")</f>
        <v/>
      </c>
      <c r="B29" s="273">
        <f>IF(A29&lt;&gt;"","KO","")</f>
        <v/>
      </c>
      <c r="C29" s="273">
        <f>IF(A29&lt;&gt;"",""&amp;DATA_KO!B26,"")</f>
        <v/>
      </c>
      <c r="D29" s="273">
        <f>IF(A29&lt;&gt;"",""&amp;DATA_KO!C26,"")</f>
        <v/>
      </c>
      <c r="E29" s="274">
        <f>IF(A29&lt;&gt;"",DATA_KO!G26,"")</f>
        <v/>
      </c>
      <c r="F29" s="273">
        <f>IF(A29&lt;&gt;"",""&amp;DATA_KO!H26,"")</f>
        <v/>
      </c>
      <c r="G29" s="273">
        <f>IF(A29&lt;&gt;"",""&amp;DATA_KO!D26,"")</f>
        <v/>
      </c>
      <c r="H29" s="273">
        <f>IF(A29&lt;&gt;"",""&amp;DATA_KO!E26,"")</f>
        <v/>
      </c>
      <c r="I29" s="273">
        <f>IF(A29&lt;&gt;"",""&amp;DATA_KO!F26,"")</f>
        <v/>
      </c>
      <c r="J29" s="275">
        <f>IF(A29&lt;&gt;"","➔ Inspect Lineage","")</f>
        <v/>
      </c>
    </row>
    <row r="30">
      <c r="A30" s="273">
        <f>IF(DATA_KO!A27&lt;&gt;"",""&amp;DATA_KO!A27,"")</f>
        <v/>
      </c>
      <c r="B30" s="273">
        <f>IF(A30&lt;&gt;"","KO","")</f>
        <v/>
      </c>
      <c r="C30" s="273">
        <f>IF(A30&lt;&gt;"",""&amp;DATA_KO!B27,"")</f>
        <v/>
      </c>
      <c r="D30" s="273">
        <f>IF(A30&lt;&gt;"",""&amp;DATA_KO!C27,"")</f>
        <v/>
      </c>
      <c r="E30" s="274">
        <f>IF(A30&lt;&gt;"",DATA_KO!G27,"")</f>
        <v/>
      </c>
      <c r="F30" s="273">
        <f>IF(A30&lt;&gt;"",""&amp;DATA_KO!H27,"")</f>
        <v/>
      </c>
      <c r="G30" s="273">
        <f>IF(A30&lt;&gt;"",""&amp;DATA_KO!D27,"")</f>
        <v/>
      </c>
      <c r="H30" s="273">
        <f>IF(A30&lt;&gt;"",""&amp;DATA_KO!E27,"")</f>
        <v/>
      </c>
      <c r="I30" s="273">
        <f>IF(A30&lt;&gt;"",""&amp;DATA_KO!F27,"")</f>
        <v/>
      </c>
      <c r="J30" s="275">
        <f>IF(A30&lt;&gt;"","➔ Inspect Lineage","")</f>
        <v/>
      </c>
    </row>
    <row r="31">
      <c r="A31" s="273">
        <f>IF(DATA_KO!A28&lt;&gt;"",""&amp;DATA_KO!A28,"")</f>
        <v/>
      </c>
      <c r="B31" s="273">
        <f>IF(A31&lt;&gt;"","KO","")</f>
        <v/>
      </c>
      <c r="C31" s="273">
        <f>IF(A31&lt;&gt;"",""&amp;DATA_KO!B28,"")</f>
        <v/>
      </c>
      <c r="D31" s="273">
        <f>IF(A31&lt;&gt;"",""&amp;DATA_KO!C28,"")</f>
        <v/>
      </c>
      <c r="E31" s="274">
        <f>IF(A31&lt;&gt;"",DATA_KO!G28,"")</f>
        <v/>
      </c>
      <c r="F31" s="273">
        <f>IF(A31&lt;&gt;"",""&amp;DATA_KO!H28,"")</f>
        <v/>
      </c>
      <c r="G31" s="273">
        <f>IF(A31&lt;&gt;"",""&amp;DATA_KO!D28,"")</f>
        <v/>
      </c>
      <c r="H31" s="273">
        <f>IF(A31&lt;&gt;"",""&amp;DATA_KO!E28,"")</f>
        <v/>
      </c>
      <c r="I31" s="273">
        <f>IF(A31&lt;&gt;"",""&amp;DATA_KO!F28,"")</f>
        <v/>
      </c>
      <c r="J31" s="275">
        <f>IF(A31&lt;&gt;"","➔ Inspect Lineage","")</f>
        <v/>
      </c>
    </row>
    <row r="32">
      <c r="A32" s="273">
        <f>IF(DATA_KO!A29&lt;&gt;"",""&amp;DATA_KO!A29,"")</f>
        <v/>
      </c>
      <c r="B32" s="273">
        <f>IF(A32&lt;&gt;"","KO","")</f>
        <v/>
      </c>
      <c r="C32" s="273">
        <f>IF(A32&lt;&gt;"",""&amp;DATA_KO!B29,"")</f>
        <v/>
      </c>
      <c r="D32" s="273">
        <f>IF(A32&lt;&gt;"",""&amp;DATA_KO!C29,"")</f>
        <v/>
      </c>
      <c r="E32" s="274">
        <f>IF(A32&lt;&gt;"",DATA_KO!G29,"")</f>
        <v/>
      </c>
      <c r="F32" s="273">
        <f>IF(A32&lt;&gt;"",""&amp;DATA_KO!H29,"")</f>
        <v/>
      </c>
      <c r="G32" s="273">
        <f>IF(A32&lt;&gt;"",""&amp;DATA_KO!D29,"")</f>
        <v/>
      </c>
      <c r="H32" s="273">
        <f>IF(A32&lt;&gt;"",""&amp;DATA_KO!E29,"")</f>
        <v/>
      </c>
      <c r="I32" s="273">
        <f>IF(A32&lt;&gt;"",""&amp;DATA_KO!F29,"")</f>
        <v/>
      </c>
      <c r="J32" s="275">
        <f>IF(A32&lt;&gt;"","➔ Inspect Lineage","")</f>
        <v/>
      </c>
    </row>
    <row r="33">
      <c r="A33" s="273">
        <f>IF(DATA_KO!A30&lt;&gt;"",""&amp;DATA_KO!A30,"")</f>
        <v/>
      </c>
      <c r="B33" s="273">
        <f>IF(A33&lt;&gt;"","KO","")</f>
        <v/>
      </c>
      <c r="C33" s="273">
        <f>IF(A33&lt;&gt;"",""&amp;DATA_KO!B30,"")</f>
        <v/>
      </c>
      <c r="D33" s="273">
        <f>IF(A33&lt;&gt;"",""&amp;DATA_KO!C30,"")</f>
        <v/>
      </c>
      <c r="E33" s="274">
        <f>IF(A33&lt;&gt;"",DATA_KO!G30,"")</f>
        <v/>
      </c>
      <c r="F33" s="273">
        <f>IF(A33&lt;&gt;"",""&amp;DATA_KO!H30,"")</f>
        <v/>
      </c>
      <c r="G33" s="273">
        <f>IF(A33&lt;&gt;"",""&amp;DATA_KO!D30,"")</f>
        <v/>
      </c>
      <c r="H33" s="273">
        <f>IF(A33&lt;&gt;"",""&amp;DATA_KO!E30,"")</f>
        <v/>
      </c>
      <c r="I33" s="273">
        <f>IF(A33&lt;&gt;"",""&amp;DATA_KO!F30,"")</f>
        <v/>
      </c>
      <c r="J33" s="275">
        <f>IF(A33&lt;&gt;"","➔ Inspect Lineage","")</f>
        <v/>
      </c>
    </row>
    <row r="34">
      <c r="A34" s="273">
        <f>IF(DATA_KO!A31&lt;&gt;"",""&amp;DATA_KO!A31,"")</f>
        <v/>
      </c>
      <c r="B34" s="273">
        <f>IF(A34&lt;&gt;"","KO","")</f>
        <v/>
      </c>
      <c r="C34" s="273">
        <f>IF(A34&lt;&gt;"",""&amp;DATA_KO!B31,"")</f>
        <v/>
      </c>
      <c r="D34" s="273">
        <f>IF(A34&lt;&gt;"",""&amp;DATA_KO!C31,"")</f>
        <v/>
      </c>
      <c r="E34" s="274">
        <f>IF(A34&lt;&gt;"",DATA_KO!G31,"")</f>
        <v/>
      </c>
      <c r="F34" s="273">
        <f>IF(A34&lt;&gt;"",""&amp;DATA_KO!H31,"")</f>
        <v/>
      </c>
      <c r="G34" s="273">
        <f>IF(A34&lt;&gt;"",""&amp;DATA_KO!D31,"")</f>
        <v/>
      </c>
      <c r="H34" s="273">
        <f>IF(A34&lt;&gt;"",""&amp;DATA_KO!E31,"")</f>
        <v/>
      </c>
      <c r="I34" s="273">
        <f>IF(A34&lt;&gt;"",""&amp;DATA_KO!F31,"")</f>
        <v/>
      </c>
      <c r="J34" s="275">
        <f>IF(A34&lt;&gt;"","➔ Inspect Lineage","")</f>
        <v/>
      </c>
    </row>
    <row r="35">
      <c r="A35" s="273">
        <f>IF(DATA_KO!A32&lt;&gt;"",""&amp;DATA_KO!A32,"")</f>
        <v/>
      </c>
      <c r="B35" s="273">
        <f>IF(A35&lt;&gt;"","KO","")</f>
        <v/>
      </c>
      <c r="C35" s="273">
        <f>IF(A35&lt;&gt;"",""&amp;DATA_KO!B32,"")</f>
        <v/>
      </c>
      <c r="D35" s="273">
        <f>IF(A35&lt;&gt;"",""&amp;DATA_KO!C32,"")</f>
        <v/>
      </c>
      <c r="E35" s="274">
        <f>IF(A35&lt;&gt;"",DATA_KO!G32,"")</f>
        <v/>
      </c>
      <c r="F35" s="273">
        <f>IF(A35&lt;&gt;"",""&amp;DATA_KO!H32,"")</f>
        <v/>
      </c>
      <c r="G35" s="273">
        <f>IF(A35&lt;&gt;"",""&amp;DATA_KO!D32,"")</f>
        <v/>
      </c>
      <c r="H35" s="273">
        <f>IF(A35&lt;&gt;"",""&amp;DATA_KO!E32,"")</f>
        <v/>
      </c>
      <c r="I35" s="273">
        <f>IF(A35&lt;&gt;"",""&amp;DATA_KO!F32,"")</f>
        <v/>
      </c>
      <c r="J35" s="275">
        <f>IF(A35&lt;&gt;"","➔ Inspect Lineage","")</f>
        <v/>
      </c>
    </row>
    <row r="36">
      <c r="A36" s="273">
        <f>IF(DATA_KO!A33&lt;&gt;"",""&amp;DATA_KO!A33,"")</f>
        <v/>
      </c>
      <c r="B36" s="273">
        <f>IF(A36&lt;&gt;"","KO","")</f>
        <v/>
      </c>
      <c r="C36" s="273">
        <f>IF(A36&lt;&gt;"",""&amp;DATA_KO!B33,"")</f>
        <v/>
      </c>
      <c r="D36" s="273">
        <f>IF(A36&lt;&gt;"",""&amp;DATA_KO!C33,"")</f>
        <v/>
      </c>
      <c r="E36" s="274">
        <f>IF(A36&lt;&gt;"",DATA_KO!G33,"")</f>
        <v/>
      </c>
      <c r="F36" s="273">
        <f>IF(A36&lt;&gt;"",""&amp;DATA_KO!H33,"")</f>
        <v/>
      </c>
      <c r="G36" s="273">
        <f>IF(A36&lt;&gt;"",""&amp;DATA_KO!D33,"")</f>
        <v/>
      </c>
      <c r="H36" s="273">
        <f>IF(A36&lt;&gt;"",""&amp;DATA_KO!E33,"")</f>
        <v/>
      </c>
      <c r="I36" s="273">
        <f>IF(A36&lt;&gt;"",""&amp;DATA_KO!F33,"")</f>
        <v/>
      </c>
      <c r="J36" s="275">
        <f>IF(A36&lt;&gt;"","➔ Inspect Lineage","")</f>
        <v/>
      </c>
    </row>
    <row r="37">
      <c r="A37" s="273">
        <f>IF(DATA_KO!A34&lt;&gt;"",""&amp;DATA_KO!A34,"")</f>
        <v/>
      </c>
      <c r="B37" s="273">
        <f>IF(A37&lt;&gt;"","KO","")</f>
        <v/>
      </c>
      <c r="C37" s="273">
        <f>IF(A37&lt;&gt;"",""&amp;DATA_KO!B34,"")</f>
        <v/>
      </c>
      <c r="D37" s="273">
        <f>IF(A37&lt;&gt;"",""&amp;DATA_KO!C34,"")</f>
        <v/>
      </c>
      <c r="E37" s="274">
        <f>IF(A37&lt;&gt;"",DATA_KO!G34,"")</f>
        <v/>
      </c>
      <c r="F37" s="273">
        <f>IF(A37&lt;&gt;"",""&amp;DATA_KO!H34,"")</f>
        <v/>
      </c>
      <c r="G37" s="273">
        <f>IF(A37&lt;&gt;"",""&amp;DATA_KO!D34,"")</f>
        <v/>
      </c>
      <c r="H37" s="273">
        <f>IF(A37&lt;&gt;"",""&amp;DATA_KO!E34,"")</f>
        <v/>
      </c>
      <c r="I37" s="273">
        <f>IF(A37&lt;&gt;"",""&amp;DATA_KO!F34,"")</f>
        <v/>
      </c>
      <c r="J37" s="275">
        <f>IF(A37&lt;&gt;"","➔ Inspect Lineage","")</f>
        <v/>
      </c>
    </row>
    <row r="38">
      <c r="A38" s="273">
        <f>IF(DATA_KO!A35&lt;&gt;"",""&amp;DATA_KO!A35,"")</f>
        <v/>
      </c>
      <c r="B38" s="273">
        <f>IF(A38&lt;&gt;"","KO","")</f>
        <v/>
      </c>
      <c r="C38" s="273">
        <f>IF(A38&lt;&gt;"",""&amp;DATA_KO!B35,"")</f>
        <v/>
      </c>
      <c r="D38" s="273">
        <f>IF(A38&lt;&gt;"",""&amp;DATA_KO!C35,"")</f>
        <v/>
      </c>
      <c r="E38" s="274">
        <f>IF(A38&lt;&gt;"",DATA_KO!G35,"")</f>
        <v/>
      </c>
      <c r="F38" s="273">
        <f>IF(A38&lt;&gt;"",""&amp;DATA_KO!H35,"")</f>
        <v/>
      </c>
      <c r="G38" s="273">
        <f>IF(A38&lt;&gt;"",""&amp;DATA_KO!D35,"")</f>
        <v/>
      </c>
      <c r="H38" s="273">
        <f>IF(A38&lt;&gt;"",""&amp;DATA_KO!E35,"")</f>
        <v/>
      </c>
      <c r="I38" s="273">
        <f>IF(A38&lt;&gt;"",""&amp;DATA_KO!F35,"")</f>
        <v/>
      </c>
      <c r="J38" s="275">
        <f>IF(A38&lt;&gt;"","➔ Inspect Lineage","")</f>
        <v/>
      </c>
    </row>
    <row r="39">
      <c r="A39" s="273">
        <f>IF(DATA_KO!A36&lt;&gt;"",""&amp;DATA_KO!A36,"")</f>
        <v/>
      </c>
      <c r="B39" s="273">
        <f>IF(A39&lt;&gt;"","KO","")</f>
        <v/>
      </c>
      <c r="C39" s="273">
        <f>IF(A39&lt;&gt;"",""&amp;DATA_KO!B36,"")</f>
        <v/>
      </c>
      <c r="D39" s="273">
        <f>IF(A39&lt;&gt;"",""&amp;DATA_KO!C36,"")</f>
        <v/>
      </c>
      <c r="E39" s="274">
        <f>IF(A39&lt;&gt;"",DATA_KO!G36,"")</f>
        <v/>
      </c>
      <c r="F39" s="273">
        <f>IF(A39&lt;&gt;"",""&amp;DATA_KO!H36,"")</f>
        <v/>
      </c>
      <c r="G39" s="273">
        <f>IF(A39&lt;&gt;"",""&amp;DATA_KO!D36,"")</f>
        <v/>
      </c>
      <c r="H39" s="273">
        <f>IF(A39&lt;&gt;"",""&amp;DATA_KO!E36,"")</f>
        <v/>
      </c>
      <c r="I39" s="273">
        <f>IF(A39&lt;&gt;"",""&amp;DATA_KO!F36,"")</f>
        <v/>
      </c>
      <c r="J39" s="275">
        <f>IF(A39&lt;&gt;"","➔ Inspect Lineage","")</f>
        <v/>
      </c>
    </row>
    <row r="40">
      <c r="A40" s="273">
        <f>IF(DATA_KO!A37&lt;&gt;"",""&amp;DATA_KO!A37,"")</f>
        <v/>
      </c>
      <c r="B40" s="273">
        <f>IF(A40&lt;&gt;"","KO","")</f>
        <v/>
      </c>
      <c r="C40" s="273">
        <f>IF(A40&lt;&gt;"",""&amp;DATA_KO!B37,"")</f>
        <v/>
      </c>
      <c r="D40" s="273">
        <f>IF(A40&lt;&gt;"",""&amp;DATA_KO!C37,"")</f>
        <v/>
      </c>
      <c r="E40" s="274">
        <f>IF(A40&lt;&gt;"",DATA_KO!G37,"")</f>
        <v/>
      </c>
      <c r="F40" s="273">
        <f>IF(A40&lt;&gt;"",""&amp;DATA_KO!H37,"")</f>
        <v/>
      </c>
      <c r="G40" s="273">
        <f>IF(A40&lt;&gt;"",""&amp;DATA_KO!D37,"")</f>
        <v/>
      </c>
      <c r="H40" s="273">
        <f>IF(A40&lt;&gt;"",""&amp;DATA_KO!E37,"")</f>
        <v/>
      </c>
      <c r="I40" s="273">
        <f>IF(A40&lt;&gt;"",""&amp;DATA_KO!F37,"")</f>
        <v/>
      </c>
      <c r="J40" s="275">
        <f>IF(A40&lt;&gt;"","➔ Inspect Lineage","")</f>
        <v/>
      </c>
    </row>
    <row r="41">
      <c r="A41" s="273">
        <f>IF(DATA_KO!A38&lt;&gt;"",""&amp;DATA_KO!A38,"")</f>
        <v/>
      </c>
      <c r="B41" s="273">
        <f>IF(A41&lt;&gt;"","KO","")</f>
        <v/>
      </c>
      <c r="C41" s="273">
        <f>IF(A41&lt;&gt;"",""&amp;DATA_KO!B38,"")</f>
        <v/>
      </c>
      <c r="D41" s="273">
        <f>IF(A41&lt;&gt;"",""&amp;DATA_KO!C38,"")</f>
        <v/>
      </c>
      <c r="E41" s="274">
        <f>IF(A41&lt;&gt;"",DATA_KO!G38,"")</f>
        <v/>
      </c>
      <c r="F41" s="273">
        <f>IF(A41&lt;&gt;"",""&amp;DATA_KO!H38,"")</f>
        <v/>
      </c>
      <c r="G41" s="273">
        <f>IF(A41&lt;&gt;"",""&amp;DATA_KO!D38,"")</f>
        <v/>
      </c>
      <c r="H41" s="273">
        <f>IF(A41&lt;&gt;"",""&amp;DATA_KO!E38,"")</f>
        <v/>
      </c>
      <c r="I41" s="273">
        <f>IF(A41&lt;&gt;"",""&amp;DATA_KO!F38,"")</f>
        <v/>
      </c>
      <c r="J41" s="275">
        <f>IF(A41&lt;&gt;"","➔ Inspect Lineage","")</f>
        <v/>
      </c>
    </row>
    <row r="42">
      <c r="A42" s="273">
        <f>IF(DATA_KO!A39&lt;&gt;"",""&amp;DATA_KO!A39,"")</f>
        <v/>
      </c>
      <c r="B42" s="273">
        <f>IF(A42&lt;&gt;"","KO","")</f>
        <v/>
      </c>
      <c r="C42" s="273">
        <f>IF(A42&lt;&gt;"",""&amp;DATA_KO!B39,"")</f>
        <v/>
      </c>
      <c r="D42" s="273">
        <f>IF(A42&lt;&gt;"",""&amp;DATA_KO!C39,"")</f>
        <v/>
      </c>
      <c r="E42" s="274">
        <f>IF(A42&lt;&gt;"",DATA_KO!G39,"")</f>
        <v/>
      </c>
      <c r="F42" s="273">
        <f>IF(A42&lt;&gt;"",""&amp;DATA_KO!H39,"")</f>
        <v/>
      </c>
      <c r="G42" s="273">
        <f>IF(A42&lt;&gt;"",""&amp;DATA_KO!D39,"")</f>
        <v/>
      </c>
      <c r="H42" s="273">
        <f>IF(A42&lt;&gt;"",""&amp;DATA_KO!E39,"")</f>
        <v/>
      </c>
      <c r="I42" s="273">
        <f>IF(A42&lt;&gt;"",""&amp;DATA_KO!F39,"")</f>
        <v/>
      </c>
      <c r="J42" s="275">
        <f>IF(A42&lt;&gt;"","➔ Inspect Lineage","")</f>
        <v/>
      </c>
    </row>
    <row r="43">
      <c r="A43" s="273">
        <f>IF(DATA_KO!A40&lt;&gt;"",""&amp;DATA_KO!A40,"")</f>
        <v/>
      </c>
      <c r="B43" s="273">
        <f>IF(A43&lt;&gt;"","KO","")</f>
        <v/>
      </c>
      <c r="C43" s="273">
        <f>IF(A43&lt;&gt;"",""&amp;DATA_KO!B40,"")</f>
        <v/>
      </c>
      <c r="D43" s="273">
        <f>IF(A43&lt;&gt;"",""&amp;DATA_KO!C40,"")</f>
        <v/>
      </c>
      <c r="E43" s="274">
        <f>IF(A43&lt;&gt;"",DATA_KO!G40,"")</f>
        <v/>
      </c>
      <c r="F43" s="273">
        <f>IF(A43&lt;&gt;"",""&amp;DATA_KO!H40,"")</f>
        <v/>
      </c>
      <c r="G43" s="273">
        <f>IF(A43&lt;&gt;"",""&amp;DATA_KO!D40,"")</f>
        <v/>
      </c>
      <c r="H43" s="273">
        <f>IF(A43&lt;&gt;"",""&amp;DATA_KO!E40,"")</f>
        <v/>
      </c>
      <c r="I43" s="273">
        <f>IF(A43&lt;&gt;"",""&amp;DATA_KO!F40,"")</f>
        <v/>
      </c>
      <c r="J43" s="275">
        <f>IF(A43&lt;&gt;"","➔ Inspect Lineage","")</f>
        <v/>
      </c>
    </row>
    <row r="44">
      <c r="A44" s="273">
        <f>IF(DATA_KO!A41&lt;&gt;"",""&amp;DATA_KO!A41,"")</f>
        <v/>
      </c>
      <c r="B44" s="273">
        <f>IF(A44&lt;&gt;"","KO","")</f>
        <v/>
      </c>
      <c r="C44" s="273">
        <f>IF(A44&lt;&gt;"",""&amp;DATA_KO!B41,"")</f>
        <v/>
      </c>
      <c r="D44" s="273">
        <f>IF(A44&lt;&gt;"",""&amp;DATA_KO!C41,"")</f>
        <v/>
      </c>
      <c r="E44" s="274">
        <f>IF(A44&lt;&gt;"",DATA_KO!G41,"")</f>
        <v/>
      </c>
      <c r="F44" s="273">
        <f>IF(A44&lt;&gt;"",""&amp;DATA_KO!H41,"")</f>
        <v/>
      </c>
      <c r="G44" s="273">
        <f>IF(A44&lt;&gt;"",""&amp;DATA_KO!D41,"")</f>
        <v/>
      </c>
      <c r="H44" s="273">
        <f>IF(A44&lt;&gt;"",""&amp;DATA_KO!E41,"")</f>
        <v/>
      </c>
      <c r="I44" s="273">
        <f>IF(A44&lt;&gt;"",""&amp;DATA_KO!F41,"")</f>
        <v/>
      </c>
      <c r="J44" s="275">
        <f>IF(A44&lt;&gt;"","➔ Inspect Lineage","")</f>
        <v/>
      </c>
    </row>
    <row r="45">
      <c r="A45" s="273">
        <f>IF(DATA_KO!A42&lt;&gt;"",""&amp;DATA_KO!A42,"")</f>
        <v/>
      </c>
      <c r="B45" s="273">
        <f>IF(A45&lt;&gt;"","KO","")</f>
        <v/>
      </c>
      <c r="C45" s="273">
        <f>IF(A45&lt;&gt;"",""&amp;DATA_KO!B42,"")</f>
        <v/>
      </c>
      <c r="D45" s="273">
        <f>IF(A45&lt;&gt;"",""&amp;DATA_KO!C42,"")</f>
        <v/>
      </c>
      <c r="E45" s="274">
        <f>IF(A45&lt;&gt;"",DATA_KO!G42,"")</f>
        <v/>
      </c>
      <c r="F45" s="273">
        <f>IF(A45&lt;&gt;"",""&amp;DATA_KO!H42,"")</f>
        <v/>
      </c>
      <c r="G45" s="273">
        <f>IF(A45&lt;&gt;"",""&amp;DATA_KO!D42,"")</f>
        <v/>
      </c>
      <c r="H45" s="273">
        <f>IF(A45&lt;&gt;"",""&amp;DATA_KO!E42,"")</f>
        <v/>
      </c>
      <c r="I45" s="273">
        <f>IF(A45&lt;&gt;"",""&amp;DATA_KO!F42,"")</f>
        <v/>
      </c>
      <c r="J45" s="275">
        <f>IF(A45&lt;&gt;"","➔ Inspect Lineage","")</f>
        <v/>
      </c>
    </row>
    <row r="46">
      <c r="A46" s="273">
        <f>IF(DATA_KO!A43&lt;&gt;"",""&amp;DATA_KO!A43,"")</f>
        <v/>
      </c>
      <c r="B46" s="273">
        <f>IF(A46&lt;&gt;"","KO","")</f>
        <v/>
      </c>
      <c r="C46" s="273">
        <f>IF(A46&lt;&gt;"",""&amp;DATA_KO!B43,"")</f>
        <v/>
      </c>
      <c r="D46" s="273">
        <f>IF(A46&lt;&gt;"",""&amp;DATA_KO!C43,"")</f>
        <v/>
      </c>
      <c r="E46" s="274">
        <f>IF(A46&lt;&gt;"",DATA_KO!G43,"")</f>
        <v/>
      </c>
      <c r="F46" s="273">
        <f>IF(A46&lt;&gt;"",""&amp;DATA_KO!H43,"")</f>
        <v/>
      </c>
      <c r="G46" s="273">
        <f>IF(A46&lt;&gt;"",""&amp;DATA_KO!D43,"")</f>
        <v/>
      </c>
      <c r="H46" s="273">
        <f>IF(A46&lt;&gt;"",""&amp;DATA_KO!E43,"")</f>
        <v/>
      </c>
      <c r="I46" s="273">
        <f>IF(A46&lt;&gt;"",""&amp;DATA_KO!F43,"")</f>
        <v/>
      </c>
      <c r="J46" s="275">
        <f>IF(A46&lt;&gt;"","➔ Inspect Lineage","")</f>
        <v/>
      </c>
    </row>
    <row r="47">
      <c r="A47" s="273">
        <f>IF(DATA_KO!A44&lt;&gt;"",""&amp;DATA_KO!A44,"")</f>
        <v/>
      </c>
      <c r="B47" s="273">
        <f>IF(A47&lt;&gt;"","KO","")</f>
        <v/>
      </c>
      <c r="C47" s="273">
        <f>IF(A47&lt;&gt;"",""&amp;DATA_KO!B44,"")</f>
        <v/>
      </c>
      <c r="D47" s="273">
        <f>IF(A47&lt;&gt;"",""&amp;DATA_KO!C44,"")</f>
        <v/>
      </c>
      <c r="E47" s="274">
        <f>IF(A47&lt;&gt;"",DATA_KO!G44,"")</f>
        <v/>
      </c>
      <c r="F47" s="273">
        <f>IF(A47&lt;&gt;"",""&amp;DATA_KO!H44,"")</f>
        <v/>
      </c>
      <c r="G47" s="273">
        <f>IF(A47&lt;&gt;"",""&amp;DATA_KO!D44,"")</f>
        <v/>
      </c>
      <c r="H47" s="273">
        <f>IF(A47&lt;&gt;"",""&amp;DATA_KO!E44,"")</f>
        <v/>
      </c>
      <c r="I47" s="273">
        <f>IF(A47&lt;&gt;"",""&amp;DATA_KO!F44,"")</f>
        <v/>
      </c>
      <c r="J47" s="275">
        <f>IF(A47&lt;&gt;"","➔ Inspect Lineage","")</f>
        <v/>
      </c>
    </row>
    <row r="48">
      <c r="A48" s="273">
        <f>IF(DATA_KO!A45&lt;&gt;"",""&amp;DATA_KO!A45,"")</f>
        <v/>
      </c>
      <c r="B48" s="273">
        <f>IF(A48&lt;&gt;"","KO","")</f>
        <v/>
      </c>
      <c r="C48" s="273">
        <f>IF(A48&lt;&gt;"",""&amp;DATA_KO!B45,"")</f>
        <v/>
      </c>
      <c r="D48" s="273">
        <f>IF(A48&lt;&gt;"",""&amp;DATA_KO!C45,"")</f>
        <v/>
      </c>
      <c r="E48" s="274">
        <f>IF(A48&lt;&gt;"",DATA_KO!G45,"")</f>
        <v/>
      </c>
      <c r="F48" s="273">
        <f>IF(A48&lt;&gt;"",""&amp;DATA_KO!H45,"")</f>
        <v/>
      </c>
      <c r="G48" s="273">
        <f>IF(A48&lt;&gt;"",""&amp;DATA_KO!D45,"")</f>
        <v/>
      </c>
      <c r="H48" s="273">
        <f>IF(A48&lt;&gt;"",""&amp;DATA_KO!E45,"")</f>
        <v/>
      </c>
      <c r="I48" s="273">
        <f>IF(A48&lt;&gt;"",""&amp;DATA_KO!F45,"")</f>
        <v/>
      </c>
      <c r="J48" s="275">
        <f>IF(A48&lt;&gt;"","➔ Inspect Lineage","")</f>
        <v/>
      </c>
    </row>
    <row r="49">
      <c r="A49" s="273">
        <f>IF(DATA_KO!A46&lt;&gt;"",""&amp;DATA_KO!A46,"")</f>
        <v/>
      </c>
      <c r="B49" s="273">
        <f>IF(A49&lt;&gt;"","KO","")</f>
        <v/>
      </c>
      <c r="C49" s="273">
        <f>IF(A49&lt;&gt;"",""&amp;DATA_KO!B46,"")</f>
        <v/>
      </c>
      <c r="D49" s="273">
        <f>IF(A49&lt;&gt;"",""&amp;DATA_KO!C46,"")</f>
        <v/>
      </c>
      <c r="E49" s="274">
        <f>IF(A49&lt;&gt;"",DATA_KO!G46,"")</f>
        <v/>
      </c>
      <c r="F49" s="273">
        <f>IF(A49&lt;&gt;"",""&amp;DATA_KO!H46,"")</f>
        <v/>
      </c>
      <c r="G49" s="273">
        <f>IF(A49&lt;&gt;"",""&amp;DATA_KO!D46,"")</f>
        <v/>
      </c>
      <c r="H49" s="273">
        <f>IF(A49&lt;&gt;"",""&amp;DATA_KO!E46,"")</f>
        <v/>
      </c>
      <c r="I49" s="273">
        <f>IF(A49&lt;&gt;"",""&amp;DATA_KO!F46,"")</f>
        <v/>
      </c>
      <c r="J49" s="275">
        <f>IF(A49&lt;&gt;"","➔ Inspect Lineage","")</f>
        <v/>
      </c>
    </row>
    <row r="50">
      <c r="A50" s="273">
        <f>IF(DATA_KO!A47&lt;&gt;"",""&amp;DATA_KO!A47,"")</f>
        <v/>
      </c>
      <c r="B50" s="273">
        <f>IF(A50&lt;&gt;"","KO","")</f>
        <v/>
      </c>
      <c r="C50" s="273">
        <f>IF(A50&lt;&gt;"",""&amp;DATA_KO!B47,"")</f>
        <v/>
      </c>
      <c r="D50" s="273">
        <f>IF(A50&lt;&gt;"",""&amp;DATA_KO!C47,"")</f>
        <v/>
      </c>
      <c r="E50" s="274">
        <f>IF(A50&lt;&gt;"",DATA_KO!G47,"")</f>
        <v/>
      </c>
      <c r="F50" s="273">
        <f>IF(A50&lt;&gt;"",""&amp;DATA_KO!H47,"")</f>
        <v/>
      </c>
      <c r="G50" s="273">
        <f>IF(A50&lt;&gt;"",""&amp;DATA_KO!D47,"")</f>
        <v/>
      </c>
      <c r="H50" s="273">
        <f>IF(A50&lt;&gt;"",""&amp;DATA_KO!E47,"")</f>
        <v/>
      </c>
      <c r="I50" s="273">
        <f>IF(A50&lt;&gt;"",""&amp;DATA_KO!F47,"")</f>
        <v/>
      </c>
      <c r="J50" s="275">
        <f>IF(A50&lt;&gt;"","➔ Inspect Lineage","")</f>
        <v/>
      </c>
    </row>
    <row r="51">
      <c r="A51" s="273">
        <f>IF(DATA_KO!A48&lt;&gt;"",""&amp;DATA_KO!A48,"")</f>
        <v/>
      </c>
      <c r="B51" s="273">
        <f>IF(A51&lt;&gt;"","KO","")</f>
        <v/>
      </c>
      <c r="C51" s="273">
        <f>IF(A51&lt;&gt;"",""&amp;DATA_KO!B48,"")</f>
        <v/>
      </c>
      <c r="D51" s="273">
        <f>IF(A51&lt;&gt;"",""&amp;DATA_KO!C48,"")</f>
        <v/>
      </c>
      <c r="E51" s="274">
        <f>IF(A51&lt;&gt;"",DATA_KO!G48,"")</f>
        <v/>
      </c>
      <c r="F51" s="273">
        <f>IF(A51&lt;&gt;"",""&amp;DATA_KO!H48,"")</f>
        <v/>
      </c>
      <c r="G51" s="273">
        <f>IF(A51&lt;&gt;"",""&amp;DATA_KO!D48,"")</f>
        <v/>
      </c>
      <c r="H51" s="273">
        <f>IF(A51&lt;&gt;"",""&amp;DATA_KO!E48,"")</f>
        <v/>
      </c>
      <c r="I51" s="273">
        <f>IF(A51&lt;&gt;"",""&amp;DATA_KO!F48,"")</f>
        <v/>
      </c>
      <c r="J51" s="275">
        <f>IF(A51&lt;&gt;"","➔ Inspect Lineage","")</f>
        <v/>
      </c>
    </row>
    <row r="52">
      <c r="A52" s="273">
        <f>IF(DATA_KO!A49&lt;&gt;"",""&amp;DATA_KO!A49,"")</f>
        <v/>
      </c>
      <c r="B52" s="273">
        <f>IF(A52&lt;&gt;"","KO","")</f>
        <v/>
      </c>
      <c r="C52" s="273">
        <f>IF(A52&lt;&gt;"",""&amp;DATA_KO!B49,"")</f>
        <v/>
      </c>
      <c r="D52" s="273">
        <f>IF(A52&lt;&gt;"",""&amp;DATA_KO!C49,"")</f>
        <v/>
      </c>
      <c r="E52" s="274">
        <f>IF(A52&lt;&gt;"",DATA_KO!G49,"")</f>
        <v/>
      </c>
      <c r="F52" s="273">
        <f>IF(A52&lt;&gt;"",""&amp;DATA_KO!H49,"")</f>
        <v/>
      </c>
      <c r="G52" s="273">
        <f>IF(A52&lt;&gt;"",""&amp;DATA_KO!D49,"")</f>
        <v/>
      </c>
      <c r="H52" s="273">
        <f>IF(A52&lt;&gt;"",""&amp;DATA_KO!E49,"")</f>
        <v/>
      </c>
      <c r="I52" s="273">
        <f>IF(A52&lt;&gt;"",""&amp;DATA_KO!F49,"")</f>
        <v/>
      </c>
      <c r="J52" s="275">
        <f>IF(A52&lt;&gt;"","➔ Inspect Lineage","")</f>
        <v/>
      </c>
    </row>
    <row r="53">
      <c r="A53" s="273">
        <f>IF(DATA_KO!A50&lt;&gt;"",""&amp;DATA_KO!A50,"")</f>
        <v/>
      </c>
      <c r="B53" s="273">
        <f>IF(A53&lt;&gt;"","KO","")</f>
        <v/>
      </c>
      <c r="C53" s="273">
        <f>IF(A53&lt;&gt;"",""&amp;DATA_KO!B50,"")</f>
        <v/>
      </c>
      <c r="D53" s="273">
        <f>IF(A53&lt;&gt;"",""&amp;DATA_KO!C50,"")</f>
        <v/>
      </c>
      <c r="E53" s="274">
        <f>IF(A53&lt;&gt;"",DATA_KO!G50,"")</f>
        <v/>
      </c>
      <c r="F53" s="273">
        <f>IF(A53&lt;&gt;"",""&amp;DATA_KO!H50,"")</f>
        <v/>
      </c>
      <c r="G53" s="273">
        <f>IF(A53&lt;&gt;"",""&amp;DATA_KO!D50,"")</f>
        <v/>
      </c>
      <c r="H53" s="273">
        <f>IF(A53&lt;&gt;"",""&amp;DATA_KO!E50,"")</f>
        <v/>
      </c>
      <c r="I53" s="273">
        <f>IF(A53&lt;&gt;"",""&amp;DATA_KO!F50,"")</f>
        <v/>
      </c>
      <c r="J53" s="275">
        <f>IF(A53&lt;&gt;"","➔ Inspect Lineage","")</f>
        <v/>
      </c>
    </row>
    <row r="54">
      <c r="A54" s="273">
        <f>IF(DATA_KO!A51&lt;&gt;"",""&amp;DATA_KO!A51,"")</f>
        <v/>
      </c>
      <c r="B54" s="273">
        <f>IF(A54&lt;&gt;"","KO","")</f>
        <v/>
      </c>
      <c r="C54" s="273">
        <f>IF(A54&lt;&gt;"",""&amp;DATA_KO!B51,"")</f>
        <v/>
      </c>
      <c r="D54" s="273">
        <f>IF(A54&lt;&gt;"",""&amp;DATA_KO!C51,"")</f>
        <v/>
      </c>
      <c r="E54" s="274">
        <f>IF(A54&lt;&gt;"",DATA_KO!G51,"")</f>
        <v/>
      </c>
      <c r="F54" s="273">
        <f>IF(A54&lt;&gt;"",""&amp;DATA_KO!H51,"")</f>
        <v/>
      </c>
      <c r="G54" s="273">
        <f>IF(A54&lt;&gt;"",""&amp;DATA_KO!D51,"")</f>
        <v/>
      </c>
      <c r="H54" s="273">
        <f>IF(A54&lt;&gt;"",""&amp;DATA_KO!E51,"")</f>
        <v/>
      </c>
      <c r="I54" s="273">
        <f>IF(A54&lt;&gt;"",""&amp;DATA_KO!F51,"")</f>
        <v/>
      </c>
      <c r="J54" s="275">
        <f>IF(A54&lt;&gt;"","➔ Inspect Lineage","")</f>
        <v/>
      </c>
    </row>
    <row r="55">
      <c r="A55" s="273">
        <f>IF(DATA_KO!A52&lt;&gt;"",""&amp;DATA_KO!A52,"")</f>
        <v/>
      </c>
      <c r="B55" s="273">
        <f>IF(A55&lt;&gt;"","KO","")</f>
        <v/>
      </c>
      <c r="C55" s="273">
        <f>IF(A55&lt;&gt;"",""&amp;DATA_KO!B52,"")</f>
        <v/>
      </c>
      <c r="D55" s="273">
        <f>IF(A55&lt;&gt;"",""&amp;DATA_KO!C52,"")</f>
        <v/>
      </c>
      <c r="E55" s="274">
        <f>IF(A55&lt;&gt;"",DATA_KO!G52,"")</f>
        <v/>
      </c>
      <c r="F55" s="273">
        <f>IF(A55&lt;&gt;"",""&amp;DATA_KO!H52,"")</f>
        <v/>
      </c>
      <c r="G55" s="273">
        <f>IF(A55&lt;&gt;"",""&amp;DATA_KO!D52,"")</f>
        <v/>
      </c>
      <c r="H55" s="273">
        <f>IF(A55&lt;&gt;"",""&amp;DATA_KO!E52,"")</f>
        <v/>
      </c>
      <c r="I55" s="273">
        <f>IF(A55&lt;&gt;"",""&amp;DATA_KO!F52,"")</f>
        <v/>
      </c>
      <c r="J55" s="275">
        <f>IF(A55&lt;&gt;"","➔ Inspect Lineage","")</f>
        <v/>
      </c>
    </row>
    <row r="56">
      <c r="A56" s="273">
        <f>IF(DATA_KO!A53&lt;&gt;"",""&amp;DATA_KO!A53,"")</f>
        <v/>
      </c>
      <c r="B56" s="273">
        <f>IF(A56&lt;&gt;"","KO","")</f>
        <v/>
      </c>
      <c r="C56" s="273">
        <f>IF(A56&lt;&gt;"",""&amp;DATA_KO!B53,"")</f>
        <v/>
      </c>
      <c r="D56" s="273">
        <f>IF(A56&lt;&gt;"",""&amp;DATA_KO!C53,"")</f>
        <v/>
      </c>
      <c r="E56" s="274">
        <f>IF(A56&lt;&gt;"",DATA_KO!G53,"")</f>
        <v/>
      </c>
      <c r="F56" s="273">
        <f>IF(A56&lt;&gt;"",""&amp;DATA_KO!H53,"")</f>
        <v/>
      </c>
      <c r="G56" s="273">
        <f>IF(A56&lt;&gt;"",""&amp;DATA_KO!D53,"")</f>
        <v/>
      </c>
      <c r="H56" s="273">
        <f>IF(A56&lt;&gt;"",""&amp;DATA_KO!E53,"")</f>
        <v/>
      </c>
      <c r="I56" s="273">
        <f>IF(A56&lt;&gt;"",""&amp;DATA_KO!F53,"")</f>
        <v/>
      </c>
      <c r="J56" s="275">
        <f>IF(A56&lt;&gt;"","➔ Inspect Lineage","")</f>
        <v/>
      </c>
    </row>
    <row r="57">
      <c r="A57" s="273">
        <f>IF(DATA_KO!A54&lt;&gt;"",""&amp;DATA_KO!A54,"")</f>
        <v/>
      </c>
      <c r="B57" s="273">
        <f>IF(A57&lt;&gt;"","KO","")</f>
        <v/>
      </c>
      <c r="C57" s="273">
        <f>IF(A57&lt;&gt;"",""&amp;DATA_KO!B54,"")</f>
        <v/>
      </c>
      <c r="D57" s="273">
        <f>IF(A57&lt;&gt;"",""&amp;DATA_KO!C54,"")</f>
        <v/>
      </c>
      <c r="E57" s="274">
        <f>IF(A57&lt;&gt;"",DATA_KO!G54,"")</f>
        <v/>
      </c>
      <c r="F57" s="273">
        <f>IF(A57&lt;&gt;"",""&amp;DATA_KO!H54,"")</f>
        <v/>
      </c>
      <c r="G57" s="273">
        <f>IF(A57&lt;&gt;"",""&amp;DATA_KO!D54,"")</f>
        <v/>
      </c>
      <c r="H57" s="273">
        <f>IF(A57&lt;&gt;"",""&amp;DATA_KO!E54,"")</f>
        <v/>
      </c>
      <c r="I57" s="273">
        <f>IF(A57&lt;&gt;"",""&amp;DATA_KO!F54,"")</f>
        <v/>
      </c>
      <c r="J57" s="275">
        <f>IF(A57&lt;&gt;"","➔ Inspect Lineage","")</f>
        <v/>
      </c>
    </row>
    <row r="58">
      <c r="A58" s="273">
        <f>IF(DATA_KO!A55&lt;&gt;"",""&amp;DATA_KO!A55,"")</f>
        <v/>
      </c>
      <c r="B58" s="273">
        <f>IF(A58&lt;&gt;"","KO","")</f>
        <v/>
      </c>
      <c r="C58" s="273">
        <f>IF(A58&lt;&gt;"",""&amp;DATA_KO!B55,"")</f>
        <v/>
      </c>
      <c r="D58" s="273">
        <f>IF(A58&lt;&gt;"",""&amp;DATA_KO!C55,"")</f>
        <v/>
      </c>
      <c r="E58" s="274">
        <f>IF(A58&lt;&gt;"",DATA_KO!G55,"")</f>
        <v/>
      </c>
      <c r="F58" s="273">
        <f>IF(A58&lt;&gt;"",""&amp;DATA_KO!H55,"")</f>
        <v/>
      </c>
      <c r="G58" s="273">
        <f>IF(A58&lt;&gt;"",""&amp;DATA_KO!D55,"")</f>
        <v/>
      </c>
      <c r="H58" s="273">
        <f>IF(A58&lt;&gt;"",""&amp;DATA_KO!E55,"")</f>
        <v/>
      </c>
      <c r="I58" s="273">
        <f>IF(A58&lt;&gt;"",""&amp;DATA_KO!F55,"")</f>
        <v/>
      </c>
      <c r="J58" s="275">
        <f>IF(A58&lt;&gt;"","➔ Inspect Lineage","")</f>
        <v/>
      </c>
    </row>
    <row r="59">
      <c r="A59" s="273">
        <f>IF(DATA_KO!A56&lt;&gt;"",""&amp;DATA_KO!A56,"")</f>
        <v/>
      </c>
      <c r="B59" s="273">
        <f>IF(A59&lt;&gt;"","KO","")</f>
        <v/>
      </c>
      <c r="C59" s="273">
        <f>IF(A59&lt;&gt;"",""&amp;DATA_KO!B56,"")</f>
        <v/>
      </c>
      <c r="D59" s="273">
        <f>IF(A59&lt;&gt;"",""&amp;DATA_KO!C56,"")</f>
        <v/>
      </c>
      <c r="E59" s="274">
        <f>IF(A59&lt;&gt;"",DATA_KO!G56,"")</f>
        <v/>
      </c>
      <c r="F59" s="273">
        <f>IF(A59&lt;&gt;"",""&amp;DATA_KO!H56,"")</f>
        <v/>
      </c>
      <c r="G59" s="273">
        <f>IF(A59&lt;&gt;"",""&amp;DATA_KO!D56,"")</f>
        <v/>
      </c>
      <c r="H59" s="273">
        <f>IF(A59&lt;&gt;"",""&amp;DATA_KO!E56,"")</f>
        <v/>
      </c>
      <c r="I59" s="273">
        <f>IF(A59&lt;&gt;"",""&amp;DATA_KO!F56,"")</f>
        <v/>
      </c>
      <c r="J59" s="275">
        <f>IF(A59&lt;&gt;"","➔ Inspect Lineage","")</f>
        <v/>
      </c>
    </row>
    <row r="60">
      <c r="A60" s="273">
        <f>IF(DATA_KO!A57&lt;&gt;"",""&amp;DATA_KO!A57,"")</f>
        <v/>
      </c>
      <c r="B60" s="273">
        <f>IF(A60&lt;&gt;"","KO","")</f>
        <v/>
      </c>
      <c r="C60" s="273">
        <f>IF(A60&lt;&gt;"",""&amp;DATA_KO!B57,"")</f>
        <v/>
      </c>
      <c r="D60" s="273">
        <f>IF(A60&lt;&gt;"",""&amp;DATA_KO!C57,"")</f>
        <v/>
      </c>
      <c r="E60" s="274">
        <f>IF(A60&lt;&gt;"",DATA_KO!G57,"")</f>
        <v/>
      </c>
      <c r="F60" s="273">
        <f>IF(A60&lt;&gt;"",""&amp;DATA_KO!H57,"")</f>
        <v/>
      </c>
      <c r="G60" s="273">
        <f>IF(A60&lt;&gt;"",""&amp;DATA_KO!D57,"")</f>
        <v/>
      </c>
      <c r="H60" s="273">
        <f>IF(A60&lt;&gt;"",""&amp;DATA_KO!E57,"")</f>
        <v/>
      </c>
      <c r="I60" s="273">
        <f>IF(A60&lt;&gt;"",""&amp;DATA_KO!F57,"")</f>
        <v/>
      </c>
      <c r="J60" s="275">
        <f>IF(A60&lt;&gt;"","➔ Inspect Lineage","")</f>
        <v/>
      </c>
    </row>
    <row r="61">
      <c r="A61" s="273">
        <f>IF(DATA_KO!A58&lt;&gt;"",""&amp;DATA_KO!A58,"")</f>
        <v/>
      </c>
      <c r="B61" s="273">
        <f>IF(A61&lt;&gt;"","KO","")</f>
        <v/>
      </c>
      <c r="C61" s="273">
        <f>IF(A61&lt;&gt;"",""&amp;DATA_KO!B58,"")</f>
        <v/>
      </c>
      <c r="D61" s="273">
        <f>IF(A61&lt;&gt;"",""&amp;DATA_KO!C58,"")</f>
        <v/>
      </c>
      <c r="E61" s="274">
        <f>IF(A61&lt;&gt;"",DATA_KO!G58,"")</f>
        <v/>
      </c>
      <c r="F61" s="273">
        <f>IF(A61&lt;&gt;"",""&amp;DATA_KO!H58,"")</f>
        <v/>
      </c>
      <c r="G61" s="273">
        <f>IF(A61&lt;&gt;"",""&amp;DATA_KO!D58,"")</f>
        <v/>
      </c>
      <c r="H61" s="273">
        <f>IF(A61&lt;&gt;"",""&amp;DATA_KO!E58,"")</f>
        <v/>
      </c>
      <c r="I61" s="273">
        <f>IF(A61&lt;&gt;"",""&amp;DATA_KO!F58,"")</f>
        <v/>
      </c>
      <c r="J61" s="275">
        <f>IF(A61&lt;&gt;"","➔ Inspect Lineage","")</f>
        <v/>
      </c>
    </row>
    <row r="62">
      <c r="A62" s="273">
        <f>IF(DATA_KO!A59&lt;&gt;"",""&amp;DATA_KO!A59,"")</f>
        <v/>
      </c>
      <c r="B62" s="273">
        <f>IF(A62&lt;&gt;"","KO","")</f>
        <v/>
      </c>
      <c r="C62" s="273">
        <f>IF(A62&lt;&gt;"",""&amp;DATA_KO!B59,"")</f>
        <v/>
      </c>
      <c r="D62" s="273">
        <f>IF(A62&lt;&gt;"",""&amp;DATA_KO!C59,"")</f>
        <v/>
      </c>
      <c r="E62" s="274">
        <f>IF(A62&lt;&gt;"",DATA_KO!G59,"")</f>
        <v/>
      </c>
      <c r="F62" s="273">
        <f>IF(A62&lt;&gt;"",""&amp;DATA_KO!H59,"")</f>
        <v/>
      </c>
      <c r="G62" s="273">
        <f>IF(A62&lt;&gt;"",""&amp;DATA_KO!D59,"")</f>
        <v/>
      </c>
      <c r="H62" s="273">
        <f>IF(A62&lt;&gt;"",""&amp;DATA_KO!E59,"")</f>
        <v/>
      </c>
      <c r="I62" s="273">
        <f>IF(A62&lt;&gt;"",""&amp;DATA_KO!F59,"")</f>
        <v/>
      </c>
      <c r="J62" s="275">
        <f>IF(A62&lt;&gt;"","➔ Inspect Lineage","")</f>
        <v/>
      </c>
    </row>
    <row r="63">
      <c r="A63" s="273">
        <f>IF(DATA_KO!A60&lt;&gt;"",""&amp;DATA_KO!A60,"")</f>
        <v/>
      </c>
      <c r="B63" s="273">
        <f>IF(A63&lt;&gt;"","KO","")</f>
        <v/>
      </c>
      <c r="C63" s="273">
        <f>IF(A63&lt;&gt;"",""&amp;DATA_KO!B60,"")</f>
        <v/>
      </c>
      <c r="D63" s="273">
        <f>IF(A63&lt;&gt;"",""&amp;DATA_KO!C60,"")</f>
        <v/>
      </c>
      <c r="E63" s="274">
        <f>IF(A63&lt;&gt;"",DATA_KO!G60,"")</f>
        <v/>
      </c>
      <c r="F63" s="273">
        <f>IF(A63&lt;&gt;"",""&amp;DATA_KO!H60,"")</f>
        <v/>
      </c>
      <c r="G63" s="273">
        <f>IF(A63&lt;&gt;"",""&amp;DATA_KO!D60,"")</f>
        <v/>
      </c>
      <c r="H63" s="273">
        <f>IF(A63&lt;&gt;"",""&amp;DATA_KO!E60,"")</f>
        <v/>
      </c>
      <c r="I63" s="273">
        <f>IF(A63&lt;&gt;"",""&amp;DATA_KO!F60,"")</f>
        <v/>
      </c>
      <c r="J63" s="275">
        <f>IF(A63&lt;&gt;"","➔ Inspect Lineage","")</f>
        <v/>
      </c>
    </row>
    <row r="64">
      <c r="A64" s="273">
        <f>IF(DATA_KO!A61&lt;&gt;"",""&amp;DATA_KO!A61,"")</f>
        <v/>
      </c>
      <c r="B64" s="273">
        <f>IF(A64&lt;&gt;"","KO","")</f>
        <v/>
      </c>
      <c r="C64" s="273">
        <f>IF(A64&lt;&gt;"",""&amp;DATA_KO!B61,"")</f>
        <v/>
      </c>
      <c r="D64" s="273">
        <f>IF(A64&lt;&gt;"",""&amp;DATA_KO!C61,"")</f>
        <v/>
      </c>
      <c r="E64" s="274">
        <f>IF(A64&lt;&gt;"",DATA_KO!G61,"")</f>
        <v/>
      </c>
      <c r="F64" s="273">
        <f>IF(A64&lt;&gt;"",""&amp;DATA_KO!H61,"")</f>
        <v/>
      </c>
      <c r="G64" s="273">
        <f>IF(A64&lt;&gt;"",""&amp;DATA_KO!D61,"")</f>
        <v/>
      </c>
      <c r="H64" s="273">
        <f>IF(A64&lt;&gt;"",""&amp;DATA_KO!E61,"")</f>
        <v/>
      </c>
      <c r="I64" s="273">
        <f>IF(A64&lt;&gt;"",""&amp;DATA_KO!F61,"")</f>
        <v/>
      </c>
      <c r="J64" s="275">
        <f>IF(A64&lt;&gt;"","➔ Inspect Lineage","")</f>
        <v/>
      </c>
    </row>
    <row r="65">
      <c r="A65" s="273">
        <f>IF(DATA_KO!A62&lt;&gt;"",""&amp;DATA_KO!A62,"")</f>
        <v/>
      </c>
      <c r="B65" s="273">
        <f>IF(A65&lt;&gt;"","KO","")</f>
        <v/>
      </c>
      <c r="C65" s="273">
        <f>IF(A65&lt;&gt;"",""&amp;DATA_KO!B62,"")</f>
        <v/>
      </c>
      <c r="D65" s="273">
        <f>IF(A65&lt;&gt;"",""&amp;DATA_KO!C62,"")</f>
        <v/>
      </c>
      <c r="E65" s="274">
        <f>IF(A65&lt;&gt;"",DATA_KO!G62,"")</f>
        <v/>
      </c>
      <c r="F65" s="273">
        <f>IF(A65&lt;&gt;"",""&amp;DATA_KO!H62,"")</f>
        <v/>
      </c>
      <c r="G65" s="273">
        <f>IF(A65&lt;&gt;"",""&amp;DATA_KO!D62,"")</f>
        <v/>
      </c>
      <c r="H65" s="273">
        <f>IF(A65&lt;&gt;"",""&amp;DATA_KO!E62,"")</f>
        <v/>
      </c>
      <c r="I65" s="273">
        <f>IF(A65&lt;&gt;"",""&amp;DATA_KO!F62,"")</f>
        <v/>
      </c>
      <c r="J65" s="275">
        <f>IF(A65&lt;&gt;"","➔ Inspect Lineage","")</f>
        <v/>
      </c>
    </row>
    <row r="66">
      <c r="A66" s="273">
        <f>IF(DATA_KO!A63&lt;&gt;"",""&amp;DATA_KO!A63,"")</f>
        <v/>
      </c>
      <c r="B66" s="273">
        <f>IF(A66&lt;&gt;"","KO","")</f>
        <v/>
      </c>
      <c r="C66" s="273">
        <f>IF(A66&lt;&gt;"",""&amp;DATA_KO!B63,"")</f>
        <v/>
      </c>
      <c r="D66" s="273">
        <f>IF(A66&lt;&gt;"",""&amp;DATA_KO!C63,"")</f>
        <v/>
      </c>
      <c r="E66" s="274">
        <f>IF(A66&lt;&gt;"",DATA_KO!G63,"")</f>
        <v/>
      </c>
      <c r="F66" s="273">
        <f>IF(A66&lt;&gt;"",""&amp;DATA_KO!H63,"")</f>
        <v/>
      </c>
      <c r="G66" s="273">
        <f>IF(A66&lt;&gt;"",""&amp;DATA_KO!D63,"")</f>
        <v/>
      </c>
      <c r="H66" s="273">
        <f>IF(A66&lt;&gt;"",""&amp;DATA_KO!E63,"")</f>
        <v/>
      </c>
      <c r="I66" s="273">
        <f>IF(A66&lt;&gt;"",""&amp;DATA_KO!F63,"")</f>
        <v/>
      </c>
      <c r="J66" s="275">
        <f>IF(A66&lt;&gt;"","➔ Inspect Lineage","")</f>
        <v/>
      </c>
    </row>
    <row r="67">
      <c r="A67" s="273">
        <f>IF(DATA_KO!A64&lt;&gt;"",""&amp;DATA_KO!A64,"")</f>
        <v/>
      </c>
      <c r="B67" s="273">
        <f>IF(A67&lt;&gt;"","KO","")</f>
        <v/>
      </c>
      <c r="C67" s="273">
        <f>IF(A67&lt;&gt;"",""&amp;DATA_KO!B64,"")</f>
        <v/>
      </c>
      <c r="D67" s="273">
        <f>IF(A67&lt;&gt;"",""&amp;DATA_KO!C64,"")</f>
        <v/>
      </c>
      <c r="E67" s="274">
        <f>IF(A67&lt;&gt;"",DATA_KO!G64,"")</f>
        <v/>
      </c>
      <c r="F67" s="273">
        <f>IF(A67&lt;&gt;"",""&amp;DATA_KO!H64,"")</f>
        <v/>
      </c>
      <c r="G67" s="273">
        <f>IF(A67&lt;&gt;"",""&amp;DATA_KO!D64,"")</f>
        <v/>
      </c>
      <c r="H67" s="273">
        <f>IF(A67&lt;&gt;"",""&amp;DATA_KO!E64,"")</f>
        <v/>
      </c>
      <c r="I67" s="273">
        <f>IF(A67&lt;&gt;"",""&amp;DATA_KO!F64,"")</f>
        <v/>
      </c>
      <c r="J67" s="275">
        <f>IF(A67&lt;&gt;"","➔ Inspect Lineage","")</f>
        <v/>
      </c>
    </row>
    <row r="68">
      <c r="A68" s="273">
        <f>IF(DATA_KO!A65&lt;&gt;"",""&amp;DATA_KO!A65,"")</f>
        <v/>
      </c>
      <c r="B68" s="273">
        <f>IF(A68&lt;&gt;"","KO","")</f>
        <v/>
      </c>
      <c r="C68" s="273">
        <f>IF(A68&lt;&gt;"",""&amp;DATA_KO!B65,"")</f>
        <v/>
      </c>
      <c r="D68" s="273">
        <f>IF(A68&lt;&gt;"",""&amp;DATA_KO!C65,"")</f>
        <v/>
      </c>
      <c r="E68" s="274">
        <f>IF(A68&lt;&gt;"",DATA_KO!G65,"")</f>
        <v/>
      </c>
      <c r="F68" s="273">
        <f>IF(A68&lt;&gt;"",""&amp;DATA_KO!H65,"")</f>
        <v/>
      </c>
      <c r="G68" s="273">
        <f>IF(A68&lt;&gt;"",""&amp;DATA_KO!D65,"")</f>
        <v/>
      </c>
      <c r="H68" s="273">
        <f>IF(A68&lt;&gt;"",""&amp;DATA_KO!E65,"")</f>
        <v/>
      </c>
      <c r="I68" s="273">
        <f>IF(A68&lt;&gt;"",""&amp;DATA_KO!F65,"")</f>
        <v/>
      </c>
      <c r="J68" s="275">
        <f>IF(A68&lt;&gt;"","➔ Inspect Lineage","")</f>
        <v/>
      </c>
    </row>
    <row r="69">
      <c r="A69" s="273">
        <f>IF(DATA_KO!A66&lt;&gt;"",""&amp;DATA_KO!A66,"")</f>
        <v/>
      </c>
      <c r="B69" s="273">
        <f>IF(A69&lt;&gt;"","KO","")</f>
        <v/>
      </c>
      <c r="C69" s="273">
        <f>IF(A69&lt;&gt;"",""&amp;DATA_KO!B66,"")</f>
        <v/>
      </c>
      <c r="D69" s="273">
        <f>IF(A69&lt;&gt;"",""&amp;DATA_KO!C66,"")</f>
        <v/>
      </c>
      <c r="E69" s="274">
        <f>IF(A69&lt;&gt;"",DATA_KO!G66,"")</f>
        <v/>
      </c>
      <c r="F69" s="273">
        <f>IF(A69&lt;&gt;"",""&amp;DATA_KO!H66,"")</f>
        <v/>
      </c>
      <c r="G69" s="273">
        <f>IF(A69&lt;&gt;"",""&amp;DATA_KO!D66,"")</f>
        <v/>
      </c>
      <c r="H69" s="273">
        <f>IF(A69&lt;&gt;"",""&amp;DATA_KO!E66,"")</f>
        <v/>
      </c>
      <c r="I69" s="273">
        <f>IF(A69&lt;&gt;"",""&amp;DATA_KO!F66,"")</f>
        <v/>
      </c>
      <c r="J69" s="275">
        <f>IF(A69&lt;&gt;"","➔ Inspect Lineage","")</f>
        <v/>
      </c>
    </row>
    <row r="70">
      <c r="A70" s="273">
        <f>IF(DATA_KO!A67&lt;&gt;"",""&amp;DATA_KO!A67,"")</f>
        <v/>
      </c>
      <c r="B70" s="273">
        <f>IF(A70&lt;&gt;"","KO","")</f>
        <v/>
      </c>
      <c r="C70" s="273">
        <f>IF(A70&lt;&gt;"",""&amp;DATA_KO!B67,"")</f>
        <v/>
      </c>
      <c r="D70" s="273">
        <f>IF(A70&lt;&gt;"",""&amp;DATA_KO!C67,"")</f>
        <v/>
      </c>
      <c r="E70" s="274">
        <f>IF(A70&lt;&gt;"",DATA_KO!G67,"")</f>
        <v/>
      </c>
      <c r="F70" s="273">
        <f>IF(A70&lt;&gt;"",""&amp;DATA_KO!H67,"")</f>
        <v/>
      </c>
      <c r="G70" s="273">
        <f>IF(A70&lt;&gt;"",""&amp;DATA_KO!D67,"")</f>
        <v/>
      </c>
      <c r="H70" s="273">
        <f>IF(A70&lt;&gt;"",""&amp;DATA_KO!E67,"")</f>
        <v/>
      </c>
      <c r="I70" s="273">
        <f>IF(A70&lt;&gt;"",""&amp;DATA_KO!F67,"")</f>
        <v/>
      </c>
      <c r="J70" s="275">
        <f>IF(A70&lt;&gt;"","➔ Inspect Lineage","")</f>
        <v/>
      </c>
    </row>
    <row r="71">
      <c r="A71" s="273">
        <f>IF(DATA_KO!A68&lt;&gt;"",""&amp;DATA_KO!A68,"")</f>
        <v/>
      </c>
      <c r="B71" s="273">
        <f>IF(A71&lt;&gt;"","KO","")</f>
        <v/>
      </c>
      <c r="C71" s="273">
        <f>IF(A71&lt;&gt;"",""&amp;DATA_KO!B68,"")</f>
        <v/>
      </c>
      <c r="D71" s="273">
        <f>IF(A71&lt;&gt;"",""&amp;DATA_KO!C68,"")</f>
        <v/>
      </c>
      <c r="E71" s="274">
        <f>IF(A71&lt;&gt;"",DATA_KO!G68,"")</f>
        <v/>
      </c>
      <c r="F71" s="273">
        <f>IF(A71&lt;&gt;"",""&amp;DATA_KO!H68,"")</f>
        <v/>
      </c>
      <c r="G71" s="273">
        <f>IF(A71&lt;&gt;"",""&amp;DATA_KO!D68,"")</f>
        <v/>
      </c>
      <c r="H71" s="273">
        <f>IF(A71&lt;&gt;"",""&amp;DATA_KO!E68,"")</f>
        <v/>
      </c>
      <c r="I71" s="273">
        <f>IF(A71&lt;&gt;"",""&amp;DATA_KO!F68,"")</f>
        <v/>
      </c>
      <c r="J71" s="275">
        <f>IF(A71&lt;&gt;"","➔ Inspect Lineage","")</f>
        <v/>
      </c>
    </row>
    <row r="72">
      <c r="A72" s="273">
        <f>IF(DATA_KO!A69&lt;&gt;"",""&amp;DATA_KO!A69,"")</f>
        <v/>
      </c>
      <c r="B72" s="273">
        <f>IF(A72&lt;&gt;"","KO","")</f>
        <v/>
      </c>
      <c r="C72" s="273">
        <f>IF(A72&lt;&gt;"",""&amp;DATA_KO!B69,"")</f>
        <v/>
      </c>
      <c r="D72" s="273">
        <f>IF(A72&lt;&gt;"",""&amp;DATA_KO!C69,"")</f>
        <v/>
      </c>
      <c r="E72" s="274">
        <f>IF(A72&lt;&gt;"",DATA_KO!G69,"")</f>
        <v/>
      </c>
      <c r="F72" s="273">
        <f>IF(A72&lt;&gt;"",""&amp;DATA_KO!H69,"")</f>
        <v/>
      </c>
      <c r="G72" s="273">
        <f>IF(A72&lt;&gt;"",""&amp;DATA_KO!D69,"")</f>
        <v/>
      </c>
      <c r="H72" s="273">
        <f>IF(A72&lt;&gt;"",""&amp;DATA_KO!E69,"")</f>
        <v/>
      </c>
      <c r="I72" s="273">
        <f>IF(A72&lt;&gt;"",""&amp;DATA_KO!F69,"")</f>
        <v/>
      </c>
      <c r="J72" s="275">
        <f>IF(A72&lt;&gt;"","➔ Inspect Lineage","")</f>
        <v/>
      </c>
    </row>
    <row r="73">
      <c r="A73" s="273">
        <f>IF(DATA_KO!A70&lt;&gt;"",""&amp;DATA_KO!A70,"")</f>
        <v/>
      </c>
      <c r="B73" s="273">
        <f>IF(A73&lt;&gt;"","KO","")</f>
        <v/>
      </c>
      <c r="C73" s="273">
        <f>IF(A73&lt;&gt;"",""&amp;DATA_KO!B70,"")</f>
        <v/>
      </c>
      <c r="D73" s="273">
        <f>IF(A73&lt;&gt;"",""&amp;DATA_KO!C70,"")</f>
        <v/>
      </c>
      <c r="E73" s="274">
        <f>IF(A73&lt;&gt;"",DATA_KO!G70,"")</f>
        <v/>
      </c>
      <c r="F73" s="273">
        <f>IF(A73&lt;&gt;"",""&amp;DATA_KO!H70,"")</f>
        <v/>
      </c>
      <c r="G73" s="273">
        <f>IF(A73&lt;&gt;"",""&amp;DATA_KO!D70,"")</f>
        <v/>
      </c>
      <c r="H73" s="273">
        <f>IF(A73&lt;&gt;"",""&amp;DATA_KO!E70,"")</f>
        <v/>
      </c>
      <c r="I73" s="273">
        <f>IF(A73&lt;&gt;"",""&amp;DATA_KO!F70,"")</f>
        <v/>
      </c>
      <c r="J73" s="275">
        <f>IF(A73&lt;&gt;"","➔ Inspect Lineage","")</f>
        <v/>
      </c>
    </row>
    <row r="74">
      <c r="A74" s="273">
        <f>IF(DATA_KO!A71&lt;&gt;"",""&amp;DATA_KO!A71,"")</f>
        <v/>
      </c>
      <c r="B74" s="273">
        <f>IF(A74&lt;&gt;"","KO","")</f>
        <v/>
      </c>
      <c r="C74" s="273">
        <f>IF(A74&lt;&gt;"",""&amp;DATA_KO!B71,"")</f>
        <v/>
      </c>
      <c r="D74" s="273">
        <f>IF(A74&lt;&gt;"",""&amp;DATA_KO!C71,"")</f>
        <v/>
      </c>
      <c r="E74" s="274">
        <f>IF(A74&lt;&gt;"",DATA_KO!G71,"")</f>
        <v/>
      </c>
      <c r="F74" s="273">
        <f>IF(A74&lt;&gt;"",""&amp;DATA_KO!H71,"")</f>
        <v/>
      </c>
      <c r="G74" s="273">
        <f>IF(A74&lt;&gt;"",""&amp;DATA_KO!D71,"")</f>
        <v/>
      </c>
      <c r="H74" s="273">
        <f>IF(A74&lt;&gt;"",""&amp;DATA_KO!E71,"")</f>
        <v/>
      </c>
      <c r="I74" s="273">
        <f>IF(A74&lt;&gt;"",""&amp;DATA_KO!F71,"")</f>
        <v/>
      </c>
      <c r="J74" s="275">
        <f>IF(A74&lt;&gt;"","➔ Inspect Lineage","")</f>
        <v/>
      </c>
    </row>
    <row r="75">
      <c r="A75" s="273">
        <f>IF(DATA_KO!A72&lt;&gt;"",""&amp;DATA_KO!A72,"")</f>
        <v/>
      </c>
      <c r="B75" s="273">
        <f>IF(A75&lt;&gt;"","KO","")</f>
        <v/>
      </c>
      <c r="C75" s="273">
        <f>IF(A75&lt;&gt;"",""&amp;DATA_KO!B72,"")</f>
        <v/>
      </c>
      <c r="D75" s="273">
        <f>IF(A75&lt;&gt;"",""&amp;DATA_KO!C72,"")</f>
        <v/>
      </c>
      <c r="E75" s="274">
        <f>IF(A75&lt;&gt;"",DATA_KO!G72,"")</f>
        <v/>
      </c>
      <c r="F75" s="273">
        <f>IF(A75&lt;&gt;"",""&amp;DATA_KO!H72,"")</f>
        <v/>
      </c>
      <c r="G75" s="273">
        <f>IF(A75&lt;&gt;"",""&amp;DATA_KO!D72,"")</f>
        <v/>
      </c>
      <c r="H75" s="273">
        <f>IF(A75&lt;&gt;"",""&amp;DATA_KO!E72,"")</f>
        <v/>
      </c>
      <c r="I75" s="273">
        <f>IF(A75&lt;&gt;"",""&amp;DATA_KO!F72,"")</f>
        <v/>
      </c>
      <c r="J75" s="275">
        <f>IF(A75&lt;&gt;"","➔ Inspect Lineage","")</f>
        <v/>
      </c>
    </row>
    <row r="76">
      <c r="A76" s="273">
        <f>IF(DATA_KO!A73&lt;&gt;"",""&amp;DATA_KO!A73,"")</f>
        <v/>
      </c>
      <c r="B76" s="273">
        <f>IF(A76&lt;&gt;"","KO","")</f>
        <v/>
      </c>
      <c r="C76" s="273">
        <f>IF(A76&lt;&gt;"",""&amp;DATA_KO!B73,"")</f>
        <v/>
      </c>
      <c r="D76" s="273">
        <f>IF(A76&lt;&gt;"",""&amp;DATA_KO!C73,"")</f>
        <v/>
      </c>
      <c r="E76" s="274">
        <f>IF(A76&lt;&gt;"",DATA_KO!G73,"")</f>
        <v/>
      </c>
      <c r="F76" s="273">
        <f>IF(A76&lt;&gt;"",""&amp;DATA_KO!H73,"")</f>
        <v/>
      </c>
      <c r="G76" s="273">
        <f>IF(A76&lt;&gt;"",""&amp;DATA_KO!D73,"")</f>
        <v/>
      </c>
      <c r="H76" s="273">
        <f>IF(A76&lt;&gt;"",""&amp;DATA_KO!E73,"")</f>
        <v/>
      </c>
      <c r="I76" s="273">
        <f>IF(A76&lt;&gt;"",""&amp;DATA_KO!F73,"")</f>
        <v/>
      </c>
      <c r="J76" s="275">
        <f>IF(A76&lt;&gt;"","➔ Inspect Lineage","")</f>
        <v/>
      </c>
    </row>
    <row r="77">
      <c r="A77" s="273">
        <f>IF(DATA_KO!A74&lt;&gt;"",""&amp;DATA_KO!A74,"")</f>
        <v/>
      </c>
      <c r="B77" s="273">
        <f>IF(A77&lt;&gt;"","KO","")</f>
        <v/>
      </c>
      <c r="C77" s="273">
        <f>IF(A77&lt;&gt;"",""&amp;DATA_KO!B74,"")</f>
        <v/>
      </c>
      <c r="D77" s="273">
        <f>IF(A77&lt;&gt;"",""&amp;DATA_KO!C74,"")</f>
        <v/>
      </c>
      <c r="E77" s="274">
        <f>IF(A77&lt;&gt;"",DATA_KO!G74,"")</f>
        <v/>
      </c>
      <c r="F77" s="273">
        <f>IF(A77&lt;&gt;"",""&amp;DATA_KO!H74,"")</f>
        <v/>
      </c>
      <c r="G77" s="273">
        <f>IF(A77&lt;&gt;"",""&amp;DATA_KO!D74,"")</f>
        <v/>
      </c>
      <c r="H77" s="273">
        <f>IF(A77&lt;&gt;"",""&amp;DATA_KO!E74,"")</f>
        <v/>
      </c>
      <c r="I77" s="273">
        <f>IF(A77&lt;&gt;"",""&amp;DATA_KO!F74,"")</f>
        <v/>
      </c>
      <c r="J77" s="275">
        <f>IF(A77&lt;&gt;"","➔ Inspect Lineage","")</f>
        <v/>
      </c>
    </row>
    <row r="78">
      <c r="A78" s="273">
        <f>IF(DATA_KO!A75&lt;&gt;"",""&amp;DATA_KO!A75,"")</f>
        <v/>
      </c>
      <c r="B78" s="273">
        <f>IF(A78&lt;&gt;"","KO","")</f>
        <v/>
      </c>
      <c r="C78" s="273">
        <f>IF(A78&lt;&gt;"",""&amp;DATA_KO!B75,"")</f>
        <v/>
      </c>
      <c r="D78" s="273">
        <f>IF(A78&lt;&gt;"",""&amp;DATA_KO!C75,"")</f>
        <v/>
      </c>
      <c r="E78" s="274">
        <f>IF(A78&lt;&gt;"",DATA_KO!G75,"")</f>
        <v/>
      </c>
      <c r="F78" s="273">
        <f>IF(A78&lt;&gt;"",""&amp;DATA_KO!H75,"")</f>
        <v/>
      </c>
      <c r="G78" s="273">
        <f>IF(A78&lt;&gt;"",""&amp;DATA_KO!D75,"")</f>
        <v/>
      </c>
      <c r="H78" s="273">
        <f>IF(A78&lt;&gt;"",""&amp;DATA_KO!E75,"")</f>
        <v/>
      </c>
      <c r="I78" s="273">
        <f>IF(A78&lt;&gt;"",""&amp;DATA_KO!F75,"")</f>
        <v/>
      </c>
      <c r="J78" s="275">
        <f>IF(A78&lt;&gt;"","➔ Inspect Lineage","")</f>
        <v/>
      </c>
    </row>
    <row r="79">
      <c r="A79" s="273">
        <f>IF(DATA_KO!A76&lt;&gt;"",""&amp;DATA_KO!A76,"")</f>
        <v/>
      </c>
      <c r="B79" s="273">
        <f>IF(A79&lt;&gt;"","KO","")</f>
        <v/>
      </c>
      <c r="C79" s="273">
        <f>IF(A79&lt;&gt;"",""&amp;DATA_KO!B76,"")</f>
        <v/>
      </c>
      <c r="D79" s="273">
        <f>IF(A79&lt;&gt;"",""&amp;DATA_KO!C76,"")</f>
        <v/>
      </c>
      <c r="E79" s="274">
        <f>IF(A79&lt;&gt;"",DATA_KO!G76,"")</f>
        <v/>
      </c>
      <c r="F79" s="273">
        <f>IF(A79&lt;&gt;"",""&amp;DATA_KO!H76,"")</f>
        <v/>
      </c>
      <c r="G79" s="273">
        <f>IF(A79&lt;&gt;"",""&amp;DATA_KO!D76,"")</f>
        <v/>
      </c>
      <c r="H79" s="273">
        <f>IF(A79&lt;&gt;"",""&amp;DATA_KO!E76,"")</f>
        <v/>
      </c>
      <c r="I79" s="273">
        <f>IF(A79&lt;&gt;"",""&amp;DATA_KO!F76,"")</f>
        <v/>
      </c>
      <c r="J79" s="275">
        <f>IF(A79&lt;&gt;"","➔ Inspect Lineage","")</f>
        <v/>
      </c>
    </row>
    <row r="80">
      <c r="A80" s="273">
        <f>IF(DATA_KO!A77&lt;&gt;"",""&amp;DATA_KO!A77,"")</f>
        <v/>
      </c>
      <c r="B80" s="273">
        <f>IF(A80&lt;&gt;"","KO","")</f>
        <v/>
      </c>
      <c r="C80" s="273">
        <f>IF(A80&lt;&gt;"",""&amp;DATA_KO!B77,"")</f>
        <v/>
      </c>
      <c r="D80" s="273">
        <f>IF(A80&lt;&gt;"",""&amp;DATA_KO!C77,"")</f>
        <v/>
      </c>
      <c r="E80" s="274">
        <f>IF(A80&lt;&gt;"",DATA_KO!G77,"")</f>
        <v/>
      </c>
      <c r="F80" s="273">
        <f>IF(A80&lt;&gt;"",""&amp;DATA_KO!H77,"")</f>
        <v/>
      </c>
      <c r="G80" s="273">
        <f>IF(A80&lt;&gt;"",""&amp;DATA_KO!D77,"")</f>
        <v/>
      </c>
      <c r="H80" s="273">
        <f>IF(A80&lt;&gt;"",""&amp;DATA_KO!E77,"")</f>
        <v/>
      </c>
      <c r="I80" s="273">
        <f>IF(A80&lt;&gt;"",""&amp;DATA_KO!F77,"")</f>
        <v/>
      </c>
      <c r="J80" s="275">
        <f>IF(A80&lt;&gt;"","➔ Inspect Lineage","")</f>
        <v/>
      </c>
    </row>
    <row r="81">
      <c r="A81" s="273">
        <f>IF(DATA_KO!A78&lt;&gt;"",""&amp;DATA_KO!A78,"")</f>
        <v/>
      </c>
      <c r="B81" s="273">
        <f>IF(A81&lt;&gt;"","KO","")</f>
        <v/>
      </c>
      <c r="C81" s="273">
        <f>IF(A81&lt;&gt;"",""&amp;DATA_KO!B78,"")</f>
        <v/>
      </c>
      <c r="D81" s="273">
        <f>IF(A81&lt;&gt;"",""&amp;DATA_KO!C78,"")</f>
        <v/>
      </c>
      <c r="E81" s="274">
        <f>IF(A81&lt;&gt;"",DATA_KO!G78,"")</f>
        <v/>
      </c>
      <c r="F81" s="273">
        <f>IF(A81&lt;&gt;"",""&amp;DATA_KO!H78,"")</f>
        <v/>
      </c>
      <c r="G81" s="273">
        <f>IF(A81&lt;&gt;"",""&amp;DATA_KO!D78,"")</f>
        <v/>
      </c>
      <c r="H81" s="273">
        <f>IF(A81&lt;&gt;"",""&amp;DATA_KO!E78,"")</f>
        <v/>
      </c>
      <c r="I81" s="273">
        <f>IF(A81&lt;&gt;"",""&amp;DATA_KO!F78,"")</f>
        <v/>
      </c>
      <c r="J81" s="275">
        <f>IF(A81&lt;&gt;"","➔ Inspect Lineage","")</f>
        <v/>
      </c>
    </row>
    <row r="82">
      <c r="A82" s="273">
        <f>IF(DATA_KO!A79&lt;&gt;"",""&amp;DATA_KO!A79,"")</f>
        <v/>
      </c>
      <c r="B82" s="273">
        <f>IF(A82&lt;&gt;"","KO","")</f>
        <v/>
      </c>
      <c r="C82" s="273">
        <f>IF(A82&lt;&gt;"",""&amp;DATA_KO!B79,"")</f>
        <v/>
      </c>
      <c r="D82" s="273">
        <f>IF(A82&lt;&gt;"",""&amp;DATA_KO!C79,"")</f>
        <v/>
      </c>
      <c r="E82" s="274">
        <f>IF(A82&lt;&gt;"",DATA_KO!G79,"")</f>
        <v/>
      </c>
      <c r="F82" s="273">
        <f>IF(A82&lt;&gt;"",""&amp;DATA_KO!H79,"")</f>
        <v/>
      </c>
      <c r="G82" s="273">
        <f>IF(A82&lt;&gt;"",""&amp;DATA_KO!D79,"")</f>
        <v/>
      </c>
      <c r="H82" s="273">
        <f>IF(A82&lt;&gt;"",""&amp;DATA_KO!E79,"")</f>
        <v/>
      </c>
      <c r="I82" s="273">
        <f>IF(A82&lt;&gt;"",""&amp;DATA_KO!F79,"")</f>
        <v/>
      </c>
      <c r="J82" s="275">
        <f>IF(A82&lt;&gt;"","➔ Inspect Lineage","")</f>
        <v/>
      </c>
    </row>
    <row r="83">
      <c r="A83" s="273">
        <f>IF(DATA_KO!A80&lt;&gt;"",""&amp;DATA_KO!A80,"")</f>
        <v/>
      </c>
      <c r="B83" s="273">
        <f>IF(A83&lt;&gt;"","KO","")</f>
        <v/>
      </c>
      <c r="C83" s="273">
        <f>IF(A83&lt;&gt;"",""&amp;DATA_KO!B80,"")</f>
        <v/>
      </c>
      <c r="D83" s="273">
        <f>IF(A83&lt;&gt;"",""&amp;DATA_KO!C80,"")</f>
        <v/>
      </c>
      <c r="E83" s="274">
        <f>IF(A83&lt;&gt;"",DATA_KO!G80,"")</f>
        <v/>
      </c>
      <c r="F83" s="273">
        <f>IF(A83&lt;&gt;"",""&amp;DATA_KO!H80,"")</f>
        <v/>
      </c>
      <c r="G83" s="273">
        <f>IF(A83&lt;&gt;"",""&amp;DATA_KO!D80,"")</f>
        <v/>
      </c>
      <c r="H83" s="273">
        <f>IF(A83&lt;&gt;"",""&amp;DATA_KO!E80,"")</f>
        <v/>
      </c>
      <c r="I83" s="273">
        <f>IF(A83&lt;&gt;"",""&amp;DATA_KO!F80,"")</f>
        <v/>
      </c>
      <c r="J83" s="275">
        <f>IF(A83&lt;&gt;"","➔ Inspect Lineage","")</f>
        <v/>
      </c>
    </row>
    <row r="84">
      <c r="A84" s="273">
        <f>IF(DATA_KO!A81&lt;&gt;"",""&amp;DATA_KO!A81,"")</f>
        <v/>
      </c>
      <c r="B84" s="273">
        <f>IF(A84&lt;&gt;"","KO","")</f>
        <v/>
      </c>
      <c r="C84" s="273">
        <f>IF(A84&lt;&gt;"",""&amp;DATA_KO!B81,"")</f>
        <v/>
      </c>
      <c r="D84" s="273">
        <f>IF(A84&lt;&gt;"",""&amp;DATA_KO!C81,"")</f>
        <v/>
      </c>
      <c r="E84" s="274">
        <f>IF(A84&lt;&gt;"",DATA_KO!G81,"")</f>
        <v/>
      </c>
      <c r="F84" s="273">
        <f>IF(A84&lt;&gt;"",""&amp;DATA_KO!H81,"")</f>
        <v/>
      </c>
      <c r="G84" s="273">
        <f>IF(A84&lt;&gt;"",""&amp;DATA_KO!D81,"")</f>
        <v/>
      </c>
      <c r="H84" s="273">
        <f>IF(A84&lt;&gt;"",""&amp;DATA_KO!E81,"")</f>
        <v/>
      </c>
      <c r="I84" s="273">
        <f>IF(A84&lt;&gt;"",""&amp;DATA_KO!F81,"")</f>
        <v/>
      </c>
      <c r="J84" s="275">
        <f>IF(A84&lt;&gt;"","➔ Inspect Lineage","")</f>
        <v/>
      </c>
    </row>
    <row r="85">
      <c r="A85" s="273">
        <f>IF(DATA_KO!A82&lt;&gt;"",""&amp;DATA_KO!A82,"")</f>
        <v/>
      </c>
      <c r="B85" s="273">
        <f>IF(A85&lt;&gt;"","KO","")</f>
        <v/>
      </c>
      <c r="C85" s="273">
        <f>IF(A85&lt;&gt;"",""&amp;DATA_KO!B82,"")</f>
        <v/>
      </c>
      <c r="D85" s="273">
        <f>IF(A85&lt;&gt;"",""&amp;DATA_KO!C82,"")</f>
        <v/>
      </c>
      <c r="E85" s="274">
        <f>IF(A85&lt;&gt;"",DATA_KO!G82,"")</f>
        <v/>
      </c>
      <c r="F85" s="273">
        <f>IF(A85&lt;&gt;"",""&amp;DATA_KO!H82,"")</f>
        <v/>
      </c>
      <c r="G85" s="273">
        <f>IF(A85&lt;&gt;"",""&amp;DATA_KO!D82,"")</f>
        <v/>
      </c>
      <c r="H85" s="273">
        <f>IF(A85&lt;&gt;"",""&amp;DATA_KO!E82,"")</f>
        <v/>
      </c>
      <c r="I85" s="273">
        <f>IF(A85&lt;&gt;"",""&amp;DATA_KO!F82,"")</f>
        <v/>
      </c>
      <c r="J85" s="275">
        <f>IF(A85&lt;&gt;"","➔ Inspect Lineage","")</f>
        <v/>
      </c>
    </row>
    <row r="86">
      <c r="A86" s="273">
        <f>IF(DATA_KO!A83&lt;&gt;"",""&amp;DATA_KO!A83,"")</f>
        <v/>
      </c>
      <c r="B86" s="273">
        <f>IF(A86&lt;&gt;"","KO","")</f>
        <v/>
      </c>
      <c r="C86" s="273">
        <f>IF(A86&lt;&gt;"",""&amp;DATA_KO!B83,"")</f>
        <v/>
      </c>
      <c r="D86" s="273">
        <f>IF(A86&lt;&gt;"",""&amp;DATA_KO!C83,"")</f>
        <v/>
      </c>
      <c r="E86" s="274">
        <f>IF(A86&lt;&gt;"",DATA_KO!G83,"")</f>
        <v/>
      </c>
      <c r="F86" s="273">
        <f>IF(A86&lt;&gt;"",""&amp;DATA_KO!H83,"")</f>
        <v/>
      </c>
      <c r="G86" s="273">
        <f>IF(A86&lt;&gt;"",""&amp;DATA_KO!D83,"")</f>
        <v/>
      </c>
      <c r="H86" s="273">
        <f>IF(A86&lt;&gt;"",""&amp;DATA_KO!E83,"")</f>
        <v/>
      </c>
      <c r="I86" s="273">
        <f>IF(A86&lt;&gt;"",""&amp;DATA_KO!F83,"")</f>
        <v/>
      </c>
      <c r="J86" s="275">
        <f>IF(A86&lt;&gt;"","➔ Inspect Lineage","")</f>
        <v/>
      </c>
    </row>
    <row r="87">
      <c r="A87" s="273">
        <f>IF(DATA_KO!A84&lt;&gt;"",""&amp;DATA_KO!A84,"")</f>
        <v/>
      </c>
      <c r="B87" s="273">
        <f>IF(A87&lt;&gt;"","KO","")</f>
        <v/>
      </c>
      <c r="C87" s="273">
        <f>IF(A87&lt;&gt;"",""&amp;DATA_KO!B84,"")</f>
        <v/>
      </c>
      <c r="D87" s="273">
        <f>IF(A87&lt;&gt;"",""&amp;DATA_KO!C84,"")</f>
        <v/>
      </c>
      <c r="E87" s="274">
        <f>IF(A87&lt;&gt;"",DATA_KO!G84,"")</f>
        <v/>
      </c>
      <c r="F87" s="273">
        <f>IF(A87&lt;&gt;"",""&amp;DATA_KO!H84,"")</f>
        <v/>
      </c>
      <c r="G87" s="273">
        <f>IF(A87&lt;&gt;"",""&amp;DATA_KO!D84,"")</f>
        <v/>
      </c>
      <c r="H87" s="273">
        <f>IF(A87&lt;&gt;"",""&amp;DATA_KO!E84,"")</f>
        <v/>
      </c>
      <c r="I87" s="273">
        <f>IF(A87&lt;&gt;"",""&amp;DATA_KO!F84,"")</f>
        <v/>
      </c>
      <c r="J87" s="275">
        <f>IF(A87&lt;&gt;"","➔ Inspect Lineage","")</f>
        <v/>
      </c>
    </row>
    <row r="88">
      <c r="A88" s="273">
        <f>IF(DATA_KO!A85&lt;&gt;"",""&amp;DATA_KO!A85,"")</f>
        <v/>
      </c>
      <c r="B88" s="273">
        <f>IF(A88&lt;&gt;"","KO","")</f>
        <v/>
      </c>
      <c r="C88" s="273">
        <f>IF(A88&lt;&gt;"",""&amp;DATA_KO!B85,"")</f>
        <v/>
      </c>
      <c r="D88" s="273">
        <f>IF(A88&lt;&gt;"",""&amp;DATA_KO!C85,"")</f>
        <v/>
      </c>
      <c r="E88" s="274">
        <f>IF(A88&lt;&gt;"",DATA_KO!G85,"")</f>
        <v/>
      </c>
      <c r="F88" s="273">
        <f>IF(A88&lt;&gt;"",""&amp;DATA_KO!H85,"")</f>
        <v/>
      </c>
      <c r="G88" s="273">
        <f>IF(A88&lt;&gt;"",""&amp;DATA_KO!D85,"")</f>
        <v/>
      </c>
      <c r="H88" s="273">
        <f>IF(A88&lt;&gt;"",""&amp;DATA_KO!E85,"")</f>
        <v/>
      </c>
      <c r="I88" s="273">
        <f>IF(A88&lt;&gt;"",""&amp;DATA_KO!F85,"")</f>
        <v/>
      </c>
      <c r="J88" s="275">
        <f>IF(A88&lt;&gt;"","➔ Inspect Lineage","")</f>
        <v/>
      </c>
    </row>
    <row r="89">
      <c r="A89" s="273">
        <f>IF(DATA_KO!A86&lt;&gt;"",""&amp;DATA_KO!A86,"")</f>
        <v/>
      </c>
      <c r="B89" s="273">
        <f>IF(A89&lt;&gt;"","KO","")</f>
        <v/>
      </c>
      <c r="C89" s="273">
        <f>IF(A89&lt;&gt;"",""&amp;DATA_KO!B86,"")</f>
        <v/>
      </c>
      <c r="D89" s="273">
        <f>IF(A89&lt;&gt;"",""&amp;DATA_KO!C86,"")</f>
        <v/>
      </c>
      <c r="E89" s="274">
        <f>IF(A89&lt;&gt;"",DATA_KO!G86,"")</f>
        <v/>
      </c>
      <c r="F89" s="273">
        <f>IF(A89&lt;&gt;"",""&amp;DATA_KO!H86,"")</f>
        <v/>
      </c>
      <c r="G89" s="273">
        <f>IF(A89&lt;&gt;"",""&amp;DATA_KO!D86,"")</f>
        <v/>
      </c>
      <c r="H89" s="273">
        <f>IF(A89&lt;&gt;"",""&amp;DATA_KO!E86,"")</f>
        <v/>
      </c>
      <c r="I89" s="273">
        <f>IF(A89&lt;&gt;"",""&amp;DATA_KO!F86,"")</f>
        <v/>
      </c>
      <c r="J89" s="275">
        <f>IF(A89&lt;&gt;"","➔ Inspect Lineage","")</f>
        <v/>
      </c>
    </row>
    <row r="90">
      <c r="A90" s="273">
        <f>IF(DATA_KO!A87&lt;&gt;"",""&amp;DATA_KO!A87,"")</f>
        <v/>
      </c>
      <c r="B90" s="273">
        <f>IF(A90&lt;&gt;"","KO","")</f>
        <v/>
      </c>
      <c r="C90" s="273">
        <f>IF(A90&lt;&gt;"",""&amp;DATA_KO!B87,"")</f>
        <v/>
      </c>
      <c r="D90" s="273">
        <f>IF(A90&lt;&gt;"",""&amp;DATA_KO!C87,"")</f>
        <v/>
      </c>
      <c r="E90" s="274">
        <f>IF(A90&lt;&gt;"",DATA_KO!G87,"")</f>
        <v/>
      </c>
      <c r="F90" s="273">
        <f>IF(A90&lt;&gt;"",""&amp;DATA_KO!H87,"")</f>
        <v/>
      </c>
      <c r="G90" s="273">
        <f>IF(A90&lt;&gt;"",""&amp;DATA_KO!D87,"")</f>
        <v/>
      </c>
      <c r="H90" s="273">
        <f>IF(A90&lt;&gt;"",""&amp;DATA_KO!E87,"")</f>
        <v/>
      </c>
      <c r="I90" s="273">
        <f>IF(A90&lt;&gt;"",""&amp;DATA_KO!F87,"")</f>
        <v/>
      </c>
      <c r="J90" s="275">
        <f>IF(A90&lt;&gt;"","➔ Inspect Lineage","")</f>
        <v/>
      </c>
    </row>
    <row r="91">
      <c r="A91" s="273">
        <f>IF(DATA_KO!A88&lt;&gt;"",""&amp;DATA_KO!A88,"")</f>
        <v/>
      </c>
      <c r="B91" s="273">
        <f>IF(A91&lt;&gt;"","KO","")</f>
        <v/>
      </c>
      <c r="C91" s="273">
        <f>IF(A91&lt;&gt;"",""&amp;DATA_KO!B88,"")</f>
        <v/>
      </c>
      <c r="D91" s="273">
        <f>IF(A91&lt;&gt;"",""&amp;DATA_KO!C88,"")</f>
        <v/>
      </c>
      <c r="E91" s="274">
        <f>IF(A91&lt;&gt;"",DATA_KO!G88,"")</f>
        <v/>
      </c>
      <c r="F91" s="273">
        <f>IF(A91&lt;&gt;"",""&amp;DATA_KO!H88,"")</f>
        <v/>
      </c>
      <c r="G91" s="273">
        <f>IF(A91&lt;&gt;"",""&amp;DATA_KO!D88,"")</f>
        <v/>
      </c>
      <c r="H91" s="273">
        <f>IF(A91&lt;&gt;"",""&amp;DATA_KO!E88,"")</f>
        <v/>
      </c>
      <c r="I91" s="273">
        <f>IF(A91&lt;&gt;"",""&amp;DATA_KO!F88,"")</f>
        <v/>
      </c>
      <c r="J91" s="275">
        <f>IF(A91&lt;&gt;"","➔ Inspect Lineage","")</f>
        <v/>
      </c>
    </row>
    <row r="92">
      <c r="A92" s="273">
        <f>IF(DATA_KO!A89&lt;&gt;"",""&amp;DATA_KO!A89,"")</f>
        <v/>
      </c>
      <c r="B92" s="273">
        <f>IF(A92&lt;&gt;"","KO","")</f>
        <v/>
      </c>
      <c r="C92" s="273">
        <f>IF(A92&lt;&gt;"",""&amp;DATA_KO!B89,"")</f>
        <v/>
      </c>
      <c r="D92" s="273">
        <f>IF(A92&lt;&gt;"",""&amp;DATA_KO!C89,"")</f>
        <v/>
      </c>
      <c r="E92" s="274">
        <f>IF(A92&lt;&gt;"",DATA_KO!G89,"")</f>
        <v/>
      </c>
      <c r="F92" s="273">
        <f>IF(A92&lt;&gt;"",""&amp;DATA_KO!H89,"")</f>
        <v/>
      </c>
      <c r="G92" s="273">
        <f>IF(A92&lt;&gt;"",""&amp;DATA_KO!D89,"")</f>
        <v/>
      </c>
      <c r="H92" s="273">
        <f>IF(A92&lt;&gt;"",""&amp;DATA_KO!E89,"")</f>
        <v/>
      </c>
      <c r="I92" s="273">
        <f>IF(A92&lt;&gt;"",""&amp;DATA_KO!F89,"")</f>
        <v/>
      </c>
      <c r="J92" s="275">
        <f>IF(A92&lt;&gt;"","➔ Inspect Lineage","")</f>
        <v/>
      </c>
    </row>
    <row r="93">
      <c r="A93" s="273">
        <f>IF(DATA_KO!A90&lt;&gt;"",""&amp;DATA_KO!A90,"")</f>
        <v/>
      </c>
      <c r="B93" s="273">
        <f>IF(A93&lt;&gt;"","KO","")</f>
        <v/>
      </c>
      <c r="C93" s="273">
        <f>IF(A93&lt;&gt;"",""&amp;DATA_KO!B90,"")</f>
        <v/>
      </c>
      <c r="D93" s="273">
        <f>IF(A93&lt;&gt;"",""&amp;DATA_KO!C90,"")</f>
        <v/>
      </c>
      <c r="E93" s="274">
        <f>IF(A93&lt;&gt;"",DATA_KO!G90,"")</f>
        <v/>
      </c>
      <c r="F93" s="273">
        <f>IF(A93&lt;&gt;"",""&amp;DATA_KO!H90,"")</f>
        <v/>
      </c>
      <c r="G93" s="273">
        <f>IF(A93&lt;&gt;"",""&amp;DATA_KO!D90,"")</f>
        <v/>
      </c>
      <c r="H93" s="273">
        <f>IF(A93&lt;&gt;"",""&amp;DATA_KO!E90,"")</f>
        <v/>
      </c>
      <c r="I93" s="273">
        <f>IF(A93&lt;&gt;"",""&amp;DATA_KO!F90,"")</f>
        <v/>
      </c>
      <c r="J93" s="275">
        <f>IF(A93&lt;&gt;"","➔ Inspect Lineage","")</f>
        <v/>
      </c>
    </row>
    <row r="94">
      <c r="A94" s="273">
        <f>IF(DATA_KO!A91&lt;&gt;"",""&amp;DATA_KO!A91,"")</f>
        <v/>
      </c>
      <c r="B94" s="273">
        <f>IF(A94&lt;&gt;"","KO","")</f>
        <v/>
      </c>
      <c r="C94" s="273">
        <f>IF(A94&lt;&gt;"",""&amp;DATA_KO!B91,"")</f>
        <v/>
      </c>
      <c r="D94" s="273">
        <f>IF(A94&lt;&gt;"",""&amp;DATA_KO!C91,"")</f>
        <v/>
      </c>
      <c r="E94" s="274">
        <f>IF(A94&lt;&gt;"",DATA_KO!G91,"")</f>
        <v/>
      </c>
      <c r="F94" s="273">
        <f>IF(A94&lt;&gt;"",""&amp;DATA_KO!H91,"")</f>
        <v/>
      </c>
      <c r="G94" s="273">
        <f>IF(A94&lt;&gt;"",""&amp;DATA_KO!D91,"")</f>
        <v/>
      </c>
      <c r="H94" s="273">
        <f>IF(A94&lt;&gt;"",""&amp;DATA_KO!E91,"")</f>
        <v/>
      </c>
      <c r="I94" s="273">
        <f>IF(A94&lt;&gt;"",""&amp;DATA_KO!F91,"")</f>
        <v/>
      </c>
      <c r="J94" s="275">
        <f>IF(A94&lt;&gt;"","➔ Inspect Lineage","")</f>
        <v/>
      </c>
    </row>
    <row r="95">
      <c r="A95" s="273">
        <f>IF(DATA_KO!A92&lt;&gt;"",""&amp;DATA_KO!A92,"")</f>
        <v/>
      </c>
      <c r="B95" s="273">
        <f>IF(A95&lt;&gt;"","KO","")</f>
        <v/>
      </c>
      <c r="C95" s="273">
        <f>IF(A95&lt;&gt;"",""&amp;DATA_KO!B92,"")</f>
        <v/>
      </c>
      <c r="D95" s="273">
        <f>IF(A95&lt;&gt;"",""&amp;DATA_KO!C92,"")</f>
        <v/>
      </c>
      <c r="E95" s="274">
        <f>IF(A95&lt;&gt;"",DATA_KO!G92,"")</f>
        <v/>
      </c>
      <c r="F95" s="273">
        <f>IF(A95&lt;&gt;"",""&amp;DATA_KO!H92,"")</f>
        <v/>
      </c>
      <c r="G95" s="273">
        <f>IF(A95&lt;&gt;"",""&amp;DATA_KO!D92,"")</f>
        <v/>
      </c>
      <c r="H95" s="273">
        <f>IF(A95&lt;&gt;"",""&amp;DATA_KO!E92,"")</f>
        <v/>
      </c>
      <c r="I95" s="273">
        <f>IF(A95&lt;&gt;"",""&amp;DATA_KO!F92,"")</f>
        <v/>
      </c>
      <c r="J95" s="275">
        <f>IF(A95&lt;&gt;"","➔ Inspect Lineage","")</f>
        <v/>
      </c>
    </row>
    <row r="96">
      <c r="A96" s="273">
        <f>IF(DATA_KO!A93&lt;&gt;"",""&amp;DATA_KO!A93,"")</f>
        <v/>
      </c>
      <c r="B96" s="273">
        <f>IF(A96&lt;&gt;"","KO","")</f>
        <v/>
      </c>
      <c r="C96" s="273">
        <f>IF(A96&lt;&gt;"",""&amp;DATA_KO!B93,"")</f>
        <v/>
      </c>
      <c r="D96" s="273">
        <f>IF(A96&lt;&gt;"",""&amp;DATA_KO!C93,"")</f>
        <v/>
      </c>
      <c r="E96" s="274">
        <f>IF(A96&lt;&gt;"",DATA_KO!G93,"")</f>
        <v/>
      </c>
      <c r="F96" s="273">
        <f>IF(A96&lt;&gt;"",""&amp;DATA_KO!H93,"")</f>
        <v/>
      </c>
      <c r="G96" s="273">
        <f>IF(A96&lt;&gt;"",""&amp;DATA_KO!D93,"")</f>
        <v/>
      </c>
      <c r="H96" s="273">
        <f>IF(A96&lt;&gt;"",""&amp;DATA_KO!E93,"")</f>
        <v/>
      </c>
      <c r="I96" s="273">
        <f>IF(A96&lt;&gt;"",""&amp;DATA_KO!F93,"")</f>
        <v/>
      </c>
      <c r="J96" s="275">
        <f>IF(A96&lt;&gt;"","➔ Inspect Lineage","")</f>
        <v/>
      </c>
    </row>
    <row r="97">
      <c r="A97" s="273">
        <f>IF(DATA_KO!A94&lt;&gt;"",""&amp;DATA_KO!A94,"")</f>
        <v/>
      </c>
      <c r="B97" s="273">
        <f>IF(A97&lt;&gt;"","KO","")</f>
        <v/>
      </c>
      <c r="C97" s="273">
        <f>IF(A97&lt;&gt;"",""&amp;DATA_KO!B94,"")</f>
        <v/>
      </c>
      <c r="D97" s="273">
        <f>IF(A97&lt;&gt;"",""&amp;DATA_KO!C94,"")</f>
        <v/>
      </c>
      <c r="E97" s="274">
        <f>IF(A97&lt;&gt;"",DATA_KO!G94,"")</f>
        <v/>
      </c>
      <c r="F97" s="273">
        <f>IF(A97&lt;&gt;"",""&amp;DATA_KO!H94,"")</f>
        <v/>
      </c>
      <c r="G97" s="273">
        <f>IF(A97&lt;&gt;"",""&amp;DATA_KO!D94,"")</f>
        <v/>
      </c>
      <c r="H97" s="273">
        <f>IF(A97&lt;&gt;"",""&amp;DATA_KO!E94,"")</f>
        <v/>
      </c>
      <c r="I97" s="273">
        <f>IF(A97&lt;&gt;"",""&amp;DATA_KO!F94,"")</f>
        <v/>
      </c>
      <c r="J97" s="275">
        <f>IF(A97&lt;&gt;"","➔ Inspect Lineage","")</f>
        <v/>
      </c>
    </row>
    <row r="98">
      <c r="A98" s="273">
        <f>IF(DATA_KO!A95&lt;&gt;"",""&amp;DATA_KO!A95,"")</f>
        <v/>
      </c>
      <c r="B98" s="273">
        <f>IF(A98&lt;&gt;"","KO","")</f>
        <v/>
      </c>
      <c r="C98" s="273">
        <f>IF(A98&lt;&gt;"",""&amp;DATA_KO!B95,"")</f>
        <v/>
      </c>
      <c r="D98" s="273">
        <f>IF(A98&lt;&gt;"",""&amp;DATA_KO!C95,"")</f>
        <v/>
      </c>
      <c r="E98" s="274">
        <f>IF(A98&lt;&gt;"",DATA_KO!G95,"")</f>
        <v/>
      </c>
      <c r="F98" s="273">
        <f>IF(A98&lt;&gt;"",""&amp;DATA_KO!H95,"")</f>
        <v/>
      </c>
      <c r="G98" s="273">
        <f>IF(A98&lt;&gt;"",""&amp;DATA_KO!D95,"")</f>
        <v/>
      </c>
      <c r="H98" s="273">
        <f>IF(A98&lt;&gt;"",""&amp;DATA_KO!E95,"")</f>
        <v/>
      </c>
      <c r="I98" s="273">
        <f>IF(A98&lt;&gt;"",""&amp;DATA_KO!F95,"")</f>
        <v/>
      </c>
      <c r="J98" s="275">
        <f>IF(A98&lt;&gt;"","➔ Inspect Lineage","")</f>
        <v/>
      </c>
    </row>
    <row r="99">
      <c r="A99" s="273">
        <f>IF(DATA_KO!A96&lt;&gt;"",""&amp;DATA_KO!A96,"")</f>
        <v/>
      </c>
      <c r="B99" s="273">
        <f>IF(A99&lt;&gt;"","KO","")</f>
        <v/>
      </c>
      <c r="C99" s="273">
        <f>IF(A99&lt;&gt;"",""&amp;DATA_KO!B96,"")</f>
        <v/>
      </c>
      <c r="D99" s="273">
        <f>IF(A99&lt;&gt;"",""&amp;DATA_KO!C96,"")</f>
        <v/>
      </c>
      <c r="E99" s="274">
        <f>IF(A99&lt;&gt;"",DATA_KO!G96,"")</f>
        <v/>
      </c>
      <c r="F99" s="273">
        <f>IF(A99&lt;&gt;"",""&amp;DATA_KO!H96,"")</f>
        <v/>
      </c>
      <c r="G99" s="273">
        <f>IF(A99&lt;&gt;"",""&amp;DATA_KO!D96,"")</f>
        <v/>
      </c>
      <c r="H99" s="273">
        <f>IF(A99&lt;&gt;"",""&amp;DATA_KO!E96,"")</f>
        <v/>
      </c>
      <c r="I99" s="273">
        <f>IF(A99&lt;&gt;"",""&amp;DATA_KO!F96,"")</f>
        <v/>
      </c>
      <c r="J99" s="275">
        <f>IF(A99&lt;&gt;"","➔ Inspect Lineage","")</f>
        <v/>
      </c>
    </row>
    <row r="100">
      <c r="A100" s="273">
        <f>IF(DATA_KO!A97&lt;&gt;"",""&amp;DATA_KO!A97,"")</f>
        <v/>
      </c>
      <c r="B100" s="273">
        <f>IF(A100&lt;&gt;"","KO","")</f>
        <v/>
      </c>
      <c r="C100" s="273">
        <f>IF(A100&lt;&gt;"",""&amp;DATA_KO!B97,"")</f>
        <v/>
      </c>
      <c r="D100" s="273">
        <f>IF(A100&lt;&gt;"",""&amp;DATA_KO!C97,"")</f>
        <v/>
      </c>
      <c r="E100" s="274">
        <f>IF(A100&lt;&gt;"",DATA_KO!G97,"")</f>
        <v/>
      </c>
      <c r="F100" s="273">
        <f>IF(A100&lt;&gt;"",""&amp;DATA_KO!H97,"")</f>
        <v/>
      </c>
      <c r="G100" s="273">
        <f>IF(A100&lt;&gt;"",""&amp;DATA_KO!D97,"")</f>
        <v/>
      </c>
      <c r="H100" s="273">
        <f>IF(A100&lt;&gt;"",""&amp;DATA_KO!E97,"")</f>
        <v/>
      </c>
      <c r="I100" s="273">
        <f>IF(A100&lt;&gt;"",""&amp;DATA_KO!F97,"")</f>
        <v/>
      </c>
      <c r="J100" s="275">
        <f>IF(A100&lt;&gt;"","➔ Inspect Lineage","")</f>
        <v/>
      </c>
    </row>
    <row r="101">
      <c r="A101" s="273">
        <f>IF(DATA_KO!A98&lt;&gt;"",""&amp;DATA_KO!A98,"")</f>
        <v/>
      </c>
      <c r="B101" s="273">
        <f>IF(A101&lt;&gt;"","KO","")</f>
        <v/>
      </c>
      <c r="C101" s="273">
        <f>IF(A101&lt;&gt;"",""&amp;DATA_KO!B98,"")</f>
        <v/>
      </c>
      <c r="D101" s="273">
        <f>IF(A101&lt;&gt;"",""&amp;DATA_KO!C98,"")</f>
        <v/>
      </c>
      <c r="E101" s="274">
        <f>IF(A101&lt;&gt;"",DATA_KO!G98,"")</f>
        <v/>
      </c>
      <c r="F101" s="273">
        <f>IF(A101&lt;&gt;"",""&amp;DATA_KO!H98,"")</f>
        <v/>
      </c>
      <c r="G101" s="273">
        <f>IF(A101&lt;&gt;"",""&amp;DATA_KO!D98,"")</f>
        <v/>
      </c>
      <c r="H101" s="273">
        <f>IF(A101&lt;&gt;"",""&amp;DATA_KO!E98,"")</f>
        <v/>
      </c>
      <c r="I101" s="273">
        <f>IF(A101&lt;&gt;"",""&amp;DATA_KO!F98,"")</f>
        <v/>
      </c>
      <c r="J101" s="275">
        <f>IF(A101&lt;&gt;"","➔ Inspect Lineage","")</f>
        <v/>
      </c>
    </row>
    <row r="102">
      <c r="A102" s="273">
        <f>IF(DATA_KO!A99&lt;&gt;"",""&amp;DATA_KO!A99,"")</f>
        <v/>
      </c>
      <c r="B102" s="273">
        <f>IF(A102&lt;&gt;"","KO","")</f>
        <v/>
      </c>
      <c r="C102" s="273">
        <f>IF(A102&lt;&gt;"",""&amp;DATA_KO!B99,"")</f>
        <v/>
      </c>
      <c r="D102" s="273">
        <f>IF(A102&lt;&gt;"",""&amp;DATA_KO!C99,"")</f>
        <v/>
      </c>
      <c r="E102" s="274">
        <f>IF(A102&lt;&gt;"",DATA_KO!G99,"")</f>
        <v/>
      </c>
      <c r="F102" s="273">
        <f>IF(A102&lt;&gt;"",""&amp;DATA_KO!H99,"")</f>
        <v/>
      </c>
      <c r="G102" s="273">
        <f>IF(A102&lt;&gt;"",""&amp;DATA_KO!D99,"")</f>
        <v/>
      </c>
      <c r="H102" s="273">
        <f>IF(A102&lt;&gt;"",""&amp;DATA_KO!E99,"")</f>
        <v/>
      </c>
      <c r="I102" s="273">
        <f>IF(A102&lt;&gt;"",""&amp;DATA_KO!F99,"")</f>
        <v/>
      </c>
      <c r="J102" s="275">
        <f>IF(A102&lt;&gt;"","➔ Inspect Lineage","")</f>
        <v/>
      </c>
    </row>
    <row r="103">
      <c r="A103" s="273">
        <f>IF(DATA_KO!A100&lt;&gt;"",""&amp;DATA_KO!A100,"")</f>
        <v/>
      </c>
      <c r="B103" s="273">
        <f>IF(A103&lt;&gt;"","KO","")</f>
        <v/>
      </c>
      <c r="C103" s="273">
        <f>IF(A103&lt;&gt;"",""&amp;DATA_KO!B100,"")</f>
        <v/>
      </c>
      <c r="D103" s="273">
        <f>IF(A103&lt;&gt;"",""&amp;DATA_KO!C100,"")</f>
        <v/>
      </c>
      <c r="E103" s="274">
        <f>IF(A103&lt;&gt;"",DATA_KO!G100,"")</f>
        <v/>
      </c>
      <c r="F103" s="273">
        <f>IF(A103&lt;&gt;"",""&amp;DATA_KO!H100,"")</f>
        <v/>
      </c>
      <c r="G103" s="273">
        <f>IF(A103&lt;&gt;"",""&amp;DATA_KO!D100,"")</f>
        <v/>
      </c>
      <c r="H103" s="273">
        <f>IF(A103&lt;&gt;"",""&amp;DATA_KO!E100,"")</f>
        <v/>
      </c>
      <c r="I103" s="273">
        <f>IF(A103&lt;&gt;"",""&amp;DATA_KO!F100,"")</f>
        <v/>
      </c>
      <c r="J103" s="275">
        <f>IF(A103&lt;&gt;"","➔ Inspect Lineage","")</f>
        <v/>
      </c>
    </row>
    <row r="104">
      <c r="A104" s="273">
        <f>IF(DATA_KO!A101&lt;&gt;"",""&amp;DATA_KO!A101,"")</f>
        <v/>
      </c>
      <c r="B104" s="273">
        <f>IF(A104&lt;&gt;"","KO","")</f>
        <v/>
      </c>
      <c r="C104" s="273">
        <f>IF(A104&lt;&gt;"",""&amp;DATA_KO!B101,"")</f>
        <v/>
      </c>
      <c r="D104" s="273">
        <f>IF(A104&lt;&gt;"",""&amp;DATA_KO!C101,"")</f>
        <v/>
      </c>
      <c r="E104" s="274">
        <f>IF(A104&lt;&gt;"",DATA_KO!G101,"")</f>
        <v/>
      </c>
      <c r="F104" s="273">
        <f>IF(A104&lt;&gt;"",""&amp;DATA_KO!H101,"")</f>
        <v/>
      </c>
      <c r="G104" s="273">
        <f>IF(A104&lt;&gt;"",""&amp;DATA_KO!D101,"")</f>
        <v/>
      </c>
      <c r="H104" s="273">
        <f>IF(A104&lt;&gt;"",""&amp;DATA_KO!E101,"")</f>
        <v/>
      </c>
      <c r="I104" s="273">
        <f>IF(A104&lt;&gt;"",""&amp;DATA_KO!F101,"")</f>
        <v/>
      </c>
      <c r="J104" s="275">
        <f>IF(A104&lt;&gt;"","➔ Inspect Lineage","")</f>
        <v/>
      </c>
    </row>
    <row r="105">
      <c r="A105" s="273">
        <f>IF(DATA_KO!A102&lt;&gt;"",""&amp;DATA_KO!A102,"")</f>
        <v/>
      </c>
      <c r="B105" s="273">
        <f>IF(A105&lt;&gt;"","KO","")</f>
        <v/>
      </c>
      <c r="C105" s="273">
        <f>IF(A105&lt;&gt;"",""&amp;DATA_KO!B102,"")</f>
        <v/>
      </c>
      <c r="D105" s="273">
        <f>IF(A105&lt;&gt;"",""&amp;DATA_KO!C102,"")</f>
        <v/>
      </c>
      <c r="E105" s="274">
        <f>IF(A105&lt;&gt;"",DATA_KO!G102,"")</f>
        <v/>
      </c>
      <c r="F105" s="273">
        <f>IF(A105&lt;&gt;"",""&amp;DATA_KO!H102,"")</f>
        <v/>
      </c>
      <c r="G105" s="273">
        <f>IF(A105&lt;&gt;"",""&amp;DATA_KO!D102,"")</f>
        <v/>
      </c>
      <c r="H105" s="273">
        <f>IF(A105&lt;&gt;"",""&amp;DATA_KO!E102,"")</f>
        <v/>
      </c>
      <c r="I105" s="273">
        <f>IF(A105&lt;&gt;"",""&amp;DATA_KO!F102,"")</f>
        <v/>
      </c>
      <c r="J105" s="275">
        <f>IF(A105&lt;&gt;"","➔ Inspect Lineage","")</f>
        <v/>
      </c>
    </row>
    <row r="106">
      <c r="A106" s="273">
        <f>IF(DATA_KO!A103&lt;&gt;"",""&amp;DATA_KO!A103,"")</f>
        <v/>
      </c>
      <c r="B106" s="273">
        <f>IF(A106&lt;&gt;"","KO","")</f>
        <v/>
      </c>
      <c r="C106" s="273">
        <f>IF(A106&lt;&gt;"",""&amp;DATA_KO!B103,"")</f>
        <v/>
      </c>
      <c r="D106" s="273">
        <f>IF(A106&lt;&gt;"",""&amp;DATA_KO!C103,"")</f>
        <v/>
      </c>
      <c r="E106" s="274">
        <f>IF(A106&lt;&gt;"",DATA_KO!G103,"")</f>
        <v/>
      </c>
      <c r="F106" s="273">
        <f>IF(A106&lt;&gt;"",""&amp;DATA_KO!H103,"")</f>
        <v/>
      </c>
      <c r="G106" s="273">
        <f>IF(A106&lt;&gt;"",""&amp;DATA_KO!D103,"")</f>
        <v/>
      </c>
      <c r="H106" s="273">
        <f>IF(A106&lt;&gt;"",""&amp;DATA_KO!E103,"")</f>
        <v/>
      </c>
      <c r="I106" s="273">
        <f>IF(A106&lt;&gt;"",""&amp;DATA_KO!F103,"")</f>
        <v/>
      </c>
      <c r="J106" s="275">
        <f>IF(A106&lt;&gt;"","➔ Inspect Lineage","")</f>
        <v/>
      </c>
    </row>
    <row r="107">
      <c r="A107" s="273">
        <f>IF(DATA_KO!A104&lt;&gt;"",""&amp;DATA_KO!A104,"")</f>
        <v/>
      </c>
      <c r="B107" s="273">
        <f>IF(A107&lt;&gt;"","KO","")</f>
        <v/>
      </c>
      <c r="C107" s="273">
        <f>IF(A107&lt;&gt;"",""&amp;DATA_KO!B104,"")</f>
        <v/>
      </c>
      <c r="D107" s="273">
        <f>IF(A107&lt;&gt;"",""&amp;DATA_KO!C104,"")</f>
        <v/>
      </c>
      <c r="E107" s="274">
        <f>IF(A107&lt;&gt;"",DATA_KO!G104,"")</f>
        <v/>
      </c>
      <c r="F107" s="273">
        <f>IF(A107&lt;&gt;"",""&amp;DATA_KO!H104,"")</f>
        <v/>
      </c>
      <c r="G107" s="273">
        <f>IF(A107&lt;&gt;"",""&amp;DATA_KO!D104,"")</f>
        <v/>
      </c>
      <c r="H107" s="273">
        <f>IF(A107&lt;&gt;"",""&amp;DATA_KO!E104,"")</f>
        <v/>
      </c>
      <c r="I107" s="273">
        <f>IF(A107&lt;&gt;"",""&amp;DATA_KO!F104,"")</f>
        <v/>
      </c>
      <c r="J107" s="275">
        <f>IF(A107&lt;&gt;"","➔ Inspect Lineage","")</f>
        <v/>
      </c>
    </row>
    <row r="108">
      <c r="A108" s="273">
        <f>IF(DATA_KO!A105&lt;&gt;"",""&amp;DATA_KO!A105,"")</f>
        <v/>
      </c>
      <c r="B108" s="273">
        <f>IF(A108&lt;&gt;"","KO","")</f>
        <v/>
      </c>
      <c r="C108" s="273">
        <f>IF(A108&lt;&gt;"",""&amp;DATA_KO!B105,"")</f>
        <v/>
      </c>
      <c r="D108" s="273">
        <f>IF(A108&lt;&gt;"",""&amp;DATA_KO!C105,"")</f>
        <v/>
      </c>
      <c r="E108" s="274">
        <f>IF(A108&lt;&gt;"",DATA_KO!G105,"")</f>
        <v/>
      </c>
      <c r="F108" s="273">
        <f>IF(A108&lt;&gt;"",""&amp;DATA_KO!H105,"")</f>
        <v/>
      </c>
      <c r="G108" s="273">
        <f>IF(A108&lt;&gt;"",""&amp;DATA_KO!D105,"")</f>
        <v/>
      </c>
      <c r="H108" s="273">
        <f>IF(A108&lt;&gt;"",""&amp;DATA_KO!E105,"")</f>
        <v/>
      </c>
      <c r="I108" s="273">
        <f>IF(A108&lt;&gt;"",""&amp;DATA_KO!F105,"")</f>
        <v/>
      </c>
      <c r="J108" s="275">
        <f>IF(A108&lt;&gt;"","➔ Inspect Lineage","")</f>
        <v/>
      </c>
    </row>
    <row r="109">
      <c r="A109" s="273">
        <f>IF(DATA_KO!A106&lt;&gt;"",""&amp;DATA_KO!A106,"")</f>
        <v/>
      </c>
      <c r="B109" s="273">
        <f>IF(A109&lt;&gt;"","KO","")</f>
        <v/>
      </c>
      <c r="C109" s="273">
        <f>IF(A109&lt;&gt;"",""&amp;DATA_KO!B106,"")</f>
        <v/>
      </c>
      <c r="D109" s="273">
        <f>IF(A109&lt;&gt;"",""&amp;DATA_KO!C106,"")</f>
        <v/>
      </c>
      <c r="E109" s="274">
        <f>IF(A109&lt;&gt;"",DATA_KO!G106,"")</f>
        <v/>
      </c>
      <c r="F109" s="273">
        <f>IF(A109&lt;&gt;"",""&amp;DATA_KO!H106,"")</f>
        <v/>
      </c>
      <c r="G109" s="273">
        <f>IF(A109&lt;&gt;"",""&amp;DATA_KO!D106,"")</f>
        <v/>
      </c>
      <c r="H109" s="273">
        <f>IF(A109&lt;&gt;"",""&amp;DATA_KO!E106,"")</f>
        <v/>
      </c>
      <c r="I109" s="273">
        <f>IF(A109&lt;&gt;"",""&amp;DATA_KO!F106,"")</f>
        <v/>
      </c>
      <c r="J109" s="275">
        <f>IF(A109&lt;&gt;"","➔ Inspect Lineage","")</f>
        <v/>
      </c>
    </row>
    <row r="110">
      <c r="A110" s="273">
        <f>IF(DATA_KO!A107&lt;&gt;"",""&amp;DATA_KO!A107,"")</f>
        <v/>
      </c>
      <c r="B110" s="273">
        <f>IF(A110&lt;&gt;"","KO","")</f>
        <v/>
      </c>
      <c r="C110" s="273">
        <f>IF(A110&lt;&gt;"",""&amp;DATA_KO!B107,"")</f>
        <v/>
      </c>
      <c r="D110" s="273">
        <f>IF(A110&lt;&gt;"",""&amp;DATA_KO!C107,"")</f>
        <v/>
      </c>
      <c r="E110" s="274">
        <f>IF(A110&lt;&gt;"",DATA_KO!G107,"")</f>
        <v/>
      </c>
      <c r="F110" s="273">
        <f>IF(A110&lt;&gt;"",""&amp;DATA_KO!H107,"")</f>
        <v/>
      </c>
      <c r="G110" s="273">
        <f>IF(A110&lt;&gt;"",""&amp;DATA_KO!D107,"")</f>
        <v/>
      </c>
      <c r="H110" s="273">
        <f>IF(A110&lt;&gt;"",""&amp;DATA_KO!E107,"")</f>
        <v/>
      </c>
      <c r="I110" s="273">
        <f>IF(A110&lt;&gt;"",""&amp;DATA_KO!F107,"")</f>
        <v/>
      </c>
      <c r="J110" s="275">
        <f>IF(A110&lt;&gt;"","➔ Inspect Lineage","")</f>
        <v/>
      </c>
    </row>
    <row r="111">
      <c r="A111" s="273">
        <f>IF(DATA_KO!A108&lt;&gt;"",""&amp;DATA_KO!A108,"")</f>
        <v/>
      </c>
      <c r="B111" s="273">
        <f>IF(A111&lt;&gt;"","KO","")</f>
        <v/>
      </c>
      <c r="C111" s="273">
        <f>IF(A111&lt;&gt;"",""&amp;DATA_KO!B108,"")</f>
        <v/>
      </c>
      <c r="D111" s="273">
        <f>IF(A111&lt;&gt;"",""&amp;DATA_KO!C108,"")</f>
        <v/>
      </c>
      <c r="E111" s="274">
        <f>IF(A111&lt;&gt;"",DATA_KO!G108,"")</f>
        <v/>
      </c>
      <c r="F111" s="273">
        <f>IF(A111&lt;&gt;"",""&amp;DATA_KO!H108,"")</f>
        <v/>
      </c>
      <c r="G111" s="273">
        <f>IF(A111&lt;&gt;"",""&amp;DATA_KO!D108,"")</f>
        <v/>
      </c>
      <c r="H111" s="273">
        <f>IF(A111&lt;&gt;"",""&amp;DATA_KO!E108,"")</f>
        <v/>
      </c>
      <c r="I111" s="273">
        <f>IF(A111&lt;&gt;"",""&amp;DATA_KO!F108,"")</f>
        <v/>
      </c>
      <c r="J111" s="275">
        <f>IF(A111&lt;&gt;"","➔ Inspect Lineage","")</f>
        <v/>
      </c>
    </row>
    <row r="112">
      <c r="A112" s="273">
        <f>IF(DATA_KO!A109&lt;&gt;"",""&amp;DATA_KO!A109,"")</f>
        <v/>
      </c>
      <c r="B112" s="273">
        <f>IF(A112&lt;&gt;"","KO","")</f>
        <v/>
      </c>
      <c r="C112" s="273">
        <f>IF(A112&lt;&gt;"",""&amp;DATA_KO!B109,"")</f>
        <v/>
      </c>
      <c r="D112" s="273">
        <f>IF(A112&lt;&gt;"",""&amp;DATA_KO!C109,"")</f>
        <v/>
      </c>
      <c r="E112" s="274">
        <f>IF(A112&lt;&gt;"",DATA_KO!G109,"")</f>
        <v/>
      </c>
      <c r="F112" s="273">
        <f>IF(A112&lt;&gt;"",""&amp;DATA_KO!H109,"")</f>
        <v/>
      </c>
      <c r="G112" s="273">
        <f>IF(A112&lt;&gt;"",""&amp;DATA_KO!D109,"")</f>
        <v/>
      </c>
      <c r="H112" s="273">
        <f>IF(A112&lt;&gt;"",""&amp;DATA_KO!E109,"")</f>
        <v/>
      </c>
      <c r="I112" s="273">
        <f>IF(A112&lt;&gt;"",""&amp;DATA_KO!F109,"")</f>
        <v/>
      </c>
      <c r="J112" s="275">
        <f>IF(A112&lt;&gt;"","➔ Inspect Lineage","")</f>
        <v/>
      </c>
    </row>
    <row r="113">
      <c r="A113" s="273">
        <f>IF(DATA_KO!A110&lt;&gt;"",""&amp;DATA_KO!A110,"")</f>
        <v/>
      </c>
      <c r="B113" s="273">
        <f>IF(A113&lt;&gt;"","KO","")</f>
        <v/>
      </c>
      <c r="C113" s="273">
        <f>IF(A113&lt;&gt;"",""&amp;DATA_KO!B110,"")</f>
        <v/>
      </c>
      <c r="D113" s="273">
        <f>IF(A113&lt;&gt;"",""&amp;DATA_KO!C110,"")</f>
        <v/>
      </c>
      <c r="E113" s="274">
        <f>IF(A113&lt;&gt;"",DATA_KO!G110,"")</f>
        <v/>
      </c>
      <c r="F113" s="273">
        <f>IF(A113&lt;&gt;"",""&amp;DATA_KO!H110,"")</f>
        <v/>
      </c>
      <c r="G113" s="273">
        <f>IF(A113&lt;&gt;"",""&amp;DATA_KO!D110,"")</f>
        <v/>
      </c>
      <c r="H113" s="273">
        <f>IF(A113&lt;&gt;"",""&amp;DATA_KO!E110,"")</f>
        <v/>
      </c>
      <c r="I113" s="273">
        <f>IF(A113&lt;&gt;"",""&amp;DATA_KO!F110,"")</f>
        <v/>
      </c>
      <c r="J113" s="275">
        <f>IF(A113&lt;&gt;"","➔ Inspect Lineage","")</f>
        <v/>
      </c>
    </row>
    <row r="114">
      <c r="A114" s="273">
        <f>IF(DATA_KO!A111&lt;&gt;"",""&amp;DATA_KO!A111,"")</f>
        <v/>
      </c>
      <c r="B114" s="273">
        <f>IF(A114&lt;&gt;"","KO","")</f>
        <v/>
      </c>
      <c r="C114" s="273">
        <f>IF(A114&lt;&gt;"",""&amp;DATA_KO!B111,"")</f>
        <v/>
      </c>
      <c r="D114" s="273">
        <f>IF(A114&lt;&gt;"",""&amp;DATA_KO!C111,"")</f>
        <v/>
      </c>
      <c r="E114" s="274">
        <f>IF(A114&lt;&gt;"",DATA_KO!G111,"")</f>
        <v/>
      </c>
      <c r="F114" s="273">
        <f>IF(A114&lt;&gt;"",""&amp;DATA_KO!H111,"")</f>
        <v/>
      </c>
      <c r="G114" s="273">
        <f>IF(A114&lt;&gt;"",""&amp;DATA_KO!D111,"")</f>
        <v/>
      </c>
      <c r="H114" s="273">
        <f>IF(A114&lt;&gt;"",""&amp;DATA_KO!E111,"")</f>
        <v/>
      </c>
      <c r="I114" s="273">
        <f>IF(A114&lt;&gt;"",""&amp;DATA_KO!F111,"")</f>
        <v/>
      </c>
      <c r="J114" s="275">
        <f>IF(A114&lt;&gt;"","➔ Inspect Lineage","")</f>
        <v/>
      </c>
    </row>
    <row r="115">
      <c r="A115" s="273">
        <f>IF(DATA_KO!A112&lt;&gt;"",""&amp;DATA_KO!A112,"")</f>
        <v/>
      </c>
      <c r="B115" s="273">
        <f>IF(A115&lt;&gt;"","KO","")</f>
        <v/>
      </c>
      <c r="C115" s="273">
        <f>IF(A115&lt;&gt;"",""&amp;DATA_KO!B112,"")</f>
        <v/>
      </c>
      <c r="D115" s="273">
        <f>IF(A115&lt;&gt;"",""&amp;DATA_KO!C112,"")</f>
        <v/>
      </c>
      <c r="E115" s="274">
        <f>IF(A115&lt;&gt;"",DATA_KO!G112,"")</f>
        <v/>
      </c>
      <c r="F115" s="273">
        <f>IF(A115&lt;&gt;"",""&amp;DATA_KO!H112,"")</f>
        <v/>
      </c>
      <c r="G115" s="273">
        <f>IF(A115&lt;&gt;"",""&amp;DATA_KO!D112,"")</f>
        <v/>
      </c>
      <c r="H115" s="273">
        <f>IF(A115&lt;&gt;"",""&amp;DATA_KO!E112,"")</f>
        <v/>
      </c>
      <c r="I115" s="273">
        <f>IF(A115&lt;&gt;"",""&amp;DATA_KO!F112,"")</f>
        <v/>
      </c>
      <c r="J115" s="275">
        <f>IF(A115&lt;&gt;"","➔ Inspect Lineage","")</f>
        <v/>
      </c>
    </row>
    <row r="116">
      <c r="A116" s="273">
        <f>IF(DATA_KO!A113&lt;&gt;"",""&amp;DATA_KO!A113,"")</f>
        <v/>
      </c>
      <c r="B116" s="273">
        <f>IF(A116&lt;&gt;"","KO","")</f>
        <v/>
      </c>
      <c r="C116" s="273">
        <f>IF(A116&lt;&gt;"",""&amp;DATA_KO!B113,"")</f>
        <v/>
      </c>
      <c r="D116" s="273">
        <f>IF(A116&lt;&gt;"",""&amp;DATA_KO!C113,"")</f>
        <v/>
      </c>
      <c r="E116" s="274">
        <f>IF(A116&lt;&gt;"",DATA_KO!G113,"")</f>
        <v/>
      </c>
      <c r="F116" s="273">
        <f>IF(A116&lt;&gt;"",""&amp;DATA_KO!H113,"")</f>
        <v/>
      </c>
      <c r="G116" s="273">
        <f>IF(A116&lt;&gt;"",""&amp;DATA_KO!D113,"")</f>
        <v/>
      </c>
      <c r="H116" s="273">
        <f>IF(A116&lt;&gt;"",""&amp;DATA_KO!E113,"")</f>
        <v/>
      </c>
      <c r="I116" s="273">
        <f>IF(A116&lt;&gt;"",""&amp;DATA_KO!F113,"")</f>
        <v/>
      </c>
      <c r="J116" s="275">
        <f>IF(A116&lt;&gt;"","➔ Inspect Lineage","")</f>
        <v/>
      </c>
    </row>
    <row r="117">
      <c r="A117" s="273">
        <f>IF(DATA_KO!A114&lt;&gt;"",""&amp;DATA_KO!A114,"")</f>
        <v/>
      </c>
      <c r="B117" s="273">
        <f>IF(A117&lt;&gt;"","KO","")</f>
        <v/>
      </c>
      <c r="C117" s="273">
        <f>IF(A117&lt;&gt;"",""&amp;DATA_KO!B114,"")</f>
        <v/>
      </c>
      <c r="D117" s="273">
        <f>IF(A117&lt;&gt;"",""&amp;DATA_KO!C114,"")</f>
        <v/>
      </c>
      <c r="E117" s="274">
        <f>IF(A117&lt;&gt;"",DATA_KO!G114,"")</f>
        <v/>
      </c>
      <c r="F117" s="273">
        <f>IF(A117&lt;&gt;"",""&amp;DATA_KO!H114,"")</f>
        <v/>
      </c>
      <c r="G117" s="273">
        <f>IF(A117&lt;&gt;"",""&amp;DATA_KO!D114,"")</f>
        <v/>
      </c>
      <c r="H117" s="273">
        <f>IF(A117&lt;&gt;"",""&amp;DATA_KO!E114,"")</f>
        <v/>
      </c>
      <c r="I117" s="273">
        <f>IF(A117&lt;&gt;"",""&amp;DATA_KO!F114,"")</f>
        <v/>
      </c>
      <c r="J117" s="275">
        <f>IF(A117&lt;&gt;"","➔ Inspect Lineage","")</f>
        <v/>
      </c>
    </row>
    <row r="118">
      <c r="A118" s="273">
        <f>IF(DATA_KO!A115&lt;&gt;"",""&amp;DATA_KO!A115,"")</f>
        <v/>
      </c>
      <c r="B118" s="273">
        <f>IF(A118&lt;&gt;"","KO","")</f>
        <v/>
      </c>
      <c r="C118" s="273">
        <f>IF(A118&lt;&gt;"",""&amp;DATA_KO!B115,"")</f>
        <v/>
      </c>
      <c r="D118" s="273">
        <f>IF(A118&lt;&gt;"",""&amp;DATA_KO!C115,"")</f>
        <v/>
      </c>
      <c r="E118" s="274">
        <f>IF(A118&lt;&gt;"",DATA_KO!G115,"")</f>
        <v/>
      </c>
      <c r="F118" s="273">
        <f>IF(A118&lt;&gt;"",""&amp;DATA_KO!H115,"")</f>
        <v/>
      </c>
      <c r="G118" s="273">
        <f>IF(A118&lt;&gt;"",""&amp;DATA_KO!D115,"")</f>
        <v/>
      </c>
      <c r="H118" s="273">
        <f>IF(A118&lt;&gt;"",""&amp;DATA_KO!E115,"")</f>
        <v/>
      </c>
      <c r="I118" s="273">
        <f>IF(A118&lt;&gt;"",""&amp;DATA_KO!F115,"")</f>
        <v/>
      </c>
      <c r="J118" s="275">
        <f>IF(A118&lt;&gt;"","➔ Inspect Lineage","")</f>
        <v/>
      </c>
    </row>
    <row r="119">
      <c r="A119" s="273">
        <f>IF(DATA_KO!A116&lt;&gt;"",""&amp;DATA_KO!A116,"")</f>
        <v/>
      </c>
      <c r="B119" s="273">
        <f>IF(A119&lt;&gt;"","KO","")</f>
        <v/>
      </c>
      <c r="C119" s="273">
        <f>IF(A119&lt;&gt;"",""&amp;DATA_KO!B116,"")</f>
        <v/>
      </c>
      <c r="D119" s="273">
        <f>IF(A119&lt;&gt;"",""&amp;DATA_KO!C116,"")</f>
        <v/>
      </c>
      <c r="E119" s="274">
        <f>IF(A119&lt;&gt;"",DATA_KO!G116,"")</f>
        <v/>
      </c>
      <c r="F119" s="273">
        <f>IF(A119&lt;&gt;"",""&amp;DATA_KO!H116,"")</f>
        <v/>
      </c>
      <c r="G119" s="273">
        <f>IF(A119&lt;&gt;"",""&amp;DATA_KO!D116,"")</f>
        <v/>
      </c>
      <c r="H119" s="273">
        <f>IF(A119&lt;&gt;"",""&amp;DATA_KO!E116,"")</f>
        <v/>
      </c>
      <c r="I119" s="273">
        <f>IF(A119&lt;&gt;"",""&amp;DATA_KO!F116,"")</f>
        <v/>
      </c>
      <c r="J119" s="275">
        <f>IF(A119&lt;&gt;"","➔ Inspect Lineage","")</f>
        <v/>
      </c>
    </row>
    <row r="120">
      <c r="A120" s="273">
        <f>IF(DATA_KO!A117&lt;&gt;"",""&amp;DATA_KO!A117,"")</f>
        <v/>
      </c>
      <c r="B120" s="273">
        <f>IF(A120&lt;&gt;"","KO","")</f>
        <v/>
      </c>
      <c r="C120" s="273">
        <f>IF(A120&lt;&gt;"",""&amp;DATA_KO!B117,"")</f>
        <v/>
      </c>
      <c r="D120" s="273">
        <f>IF(A120&lt;&gt;"",""&amp;DATA_KO!C117,"")</f>
        <v/>
      </c>
      <c r="E120" s="274">
        <f>IF(A120&lt;&gt;"",DATA_KO!G117,"")</f>
        <v/>
      </c>
      <c r="F120" s="273">
        <f>IF(A120&lt;&gt;"",""&amp;DATA_KO!H117,"")</f>
        <v/>
      </c>
      <c r="G120" s="273">
        <f>IF(A120&lt;&gt;"",""&amp;DATA_KO!D117,"")</f>
        <v/>
      </c>
      <c r="H120" s="273">
        <f>IF(A120&lt;&gt;"",""&amp;DATA_KO!E117,"")</f>
        <v/>
      </c>
      <c r="I120" s="273">
        <f>IF(A120&lt;&gt;"",""&amp;DATA_KO!F117,"")</f>
        <v/>
      </c>
      <c r="J120" s="275">
        <f>IF(A120&lt;&gt;"","➔ Inspect Lineage","")</f>
        <v/>
      </c>
    </row>
    <row r="121">
      <c r="A121" s="273">
        <f>IF(DATA_KO!A118&lt;&gt;"",""&amp;DATA_KO!A118,"")</f>
        <v/>
      </c>
      <c r="B121" s="273">
        <f>IF(A121&lt;&gt;"","KO","")</f>
        <v/>
      </c>
      <c r="C121" s="273">
        <f>IF(A121&lt;&gt;"",""&amp;DATA_KO!B118,"")</f>
        <v/>
      </c>
      <c r="D121" s="273">
        <f>IF(A121&lt;&gt;"",""&amp;DATA_KO!C118,"")</f>
        <v/>
      </c>
      <c r="E121" s="274">
        <f>IF(A121&lt;&gt;"",DATA_KO!G118,"")</f>
        <v/>
      </c>
      <c r="F121" s="273">
        <f>IF(A121&lt;&gt;"",""&amp;DATA_KO!H118,"")</f>
        <v/>
      </c>
      <c r="G121" s="273">
        <f>IF(A121&lt;&gt;"",""&amp;DATA_KO!D118,"")</f>
        <v/>
      </c>
      <c r="H121" s="273">
        <f>IF(A121&lt;&gt;"",""&amp;DATA_KO!E118,"")</f>
        <v/>
      </c>
      <c r="I121" s="273">
        <f>IF(A121&lt;&gt;"",""&amp;DATA_KO!F118,"")</f>
        <v/>
      </c>
      <c r="J121" s="275">
        <f>IF(A121&lt;&gt;"","➔ Inspect Lineage","")</f>
        <v/>
      </c>
    </row>
    <row r="122">
      <c r="A122" s="273">
        <f>IF(DATA_KO!A119&lt;&gt;"",""&amp;DATA_KO!A119,"")</f>
        <v/>
      </c>
      <c r="B122" s="273">
        <f>IF(A122&lt;&gt;"","KO","")</f>
        <v/>
      </c>
      <c r="C122" s="273">
        <f>IF(A122&lt;&gt;"",""&amp;DATA_KO!B119,"")</f>
        <v/>
      </c>
      <c r="D122" s="273">
        <f>IF(A122&lt;&gt;"",""&amp;DATA_KO!C119,"")</f>
        <v/>
      </c>
      <c r="E122" s="274">
        <f>IF(A122&lt;&gt;"",DATA_KO!G119,"")</f>
        <v/>
      </c>
      <c r="F122" s="273">
        <f>IF(A122&lt;&gt;"",""&amp;DATA_KO!H119,"")</f>
        <v/>
      </c>
      <c r="G122" s="273">
        <f>IF(A122&lt;&gt;"",""&amp;DATA_KO!D119,"")</f>
        <v/>
      </c>
      <c r="H122" s="273">
        <f>IF(A122&lt;&gt;"",""&amp;DATA_KO!E119,"")</f>
        <v/>
      </c>
      <c r="I122" s="273">
        <f>IF(A122&lt;&gt;"",""&amp;DATA_KO!F119,"")</f>
        <v/>
      </c>
      <c r="J122" s="275">
        <f>IF(A122&lt;&gt;"","➔ Inspect Lineage","")</f>
        <v/>
      </c>
    </row>
    <row r="123">
      <c r="A123" s="273">
        <f>IF(DATA_KO!A120&lt;&gt;"",""&amp;DATA_KO!A120,"")</f>
        <v/>
      </c>
      <c r="B123" s="273">
        <f>IF(A123&lt;&gt;"","KO","")</f>
        <v/>
      </c>
      <c r="C123" s="273">
        <f>IF(A123&lt;&gt;"",""&amp;DATA_KO!B120,"")</f>
        <v/>
      </c>
      <c r="D123" s="273">
        <f>IF(A123&lt;&gt;"",""&amp;DATA_KO!C120,"")</f>
        <v/>
      </c>
      <c r="E123" s="274">
        <f>IF(A123&lt;&gt;"",DATA_KO!G120,"")</f>
        <v/>
      </c>
      <c r="F123" s="273">
        <f>IF(A123&lt;&gt;"",""&amp;DATA_KO!H120,"")</f>
        <v/>
      </c>
      <c r="G123" s="273">
        <f>IF(A123&lt;&gt;"",""&amp;DATA_KO!D120,"")</f>
        <v/>
      </c>
      <c r="H123" s="273">
        <f>IF(A123&lt;&gt;"",""&amp;DATA_KO!E120,"")</f>
        <v/>
      </c>
      <c r="I123" s="273">
        <f>IF(A123&lt;&gt;"",""&amp;DATA_KO!F120,"")</f>
        <v/>
      </c>
      <c r="J123" s="275">
        <f>IF(A123&lt;&gt;"","➔ Inspect Lineage","")</f>
        <v/>
      </c>
    </row>
    <row r="124">
      <c r="A124" s="273">
        <f>IF(DATA_KO!A121&lt;&gt;"",""&amp;DATA_KO!A121,"")</f>
        <v/>
      </c>
      <c r="B124" s="273">
        <f>IF(A124&lt;&gt;"","KO","")</f>
        <v/>
      </c>
      <c r="C124" s="273">
        <f>IF(A124&lt;&gt;"",""&amp;DATA_KO!B121,"")</f>
        <v/>
      </c>
      <c r="D124" s="273">
        <f>IF(A124&lt;&gt;"",""&amp;DATA_KO!C121,"")</f>
        <v/>
      </c>
      <c r="E124" s="274">
        <f>IF(A124&lt;&gt;"",DATA_KO!G121,"")</f>
        <v/>
      </c>
      <c r="F124" s="273">
        <f>IF(A124&lt;&gt;"",""&amp;DATA_KO!H121,"")</f>
        <v/>
      </c>
      <c r="G124" s="273">
        <f>IF(A124&lt;&gt;"",""&amp;DATA_KO!D121,"")</f>
        <v/>
      </c>
      <c r="H124" s="273">
        <f>IF(A124&lt;&gt;"",""&amp;DATA_KO!E121,"")</f>
        <v/>
      </c>
      <c r="I124" s="273">
        <f>IF(A124&lt;&gt;"",""&amp;DATA_KO!F121,"")</f>
        <v/>
      </c>
      <c r="J124" s="275">
        <f>IF(A124&lt;&gt;"","➔ Inspect Lineage","")</f>
        <v/>
      </c>
    </row>
    <row r="125">
      <c r="A125" s="273">
        <f>IF(DATA_KO!A122&lt;&gt;"",""&amp;DATA_KO!A122,"")</f>
        <v/>
      </c>
      <c r="B125" s="273">
        <f>IF(A125&lt;&gt;"","KO","")</f>
        <v/>
      </c>
      <c r="C125" s="273">
        <f>IF(A125&lt;&gt;"",""&amp;DATA_KO!B122,"")</f>
        <v/>
      </c>
      <c r="D125" s="273">
        <f>IF(A125&lt;&gt;"",""&amp;DATA_KO!C122,"")</f>
        <v/>
      </c>
      <c r="E125" s="274">
        <f>IF(A125&lt;&gt;"",DATA_KO!G122,"")</f>
        <v/>
      </c>
      <c r="F125" s="273">
        <f>IF(A125&lt;&gt;"",""&amp;DATA_KO!H122,"")</f>
        <v/>
      </c>
      <c r="G125" s="273">
        <f>IF(A125&lt;&gt;"",""&amp;DATA_KO!D122,"")</f>
        <v/>
      </c>
      <c r="H125" s="273">
        <f>IF(A125&lt;&gt;"",""&amp;DATA_KO!E122,"")</f>
        <v/>
      </c>
      <c r="I125" s="273">
        <f>IF(A125&lt;&gt;"",""&amp;DATA_KO!F122,"")</f>
        <v/>
      </c>
      <c r="J125" s="275">
        <f>IF(A125&lt;&gt;"","➔ Inspect Lineage","")</f>
        <v/>
      </c>
    </row>
    <row r="126">
      <c r="A126" s="273">
        <f>IF(DATA_KO!A123&lt;&gt;"",""&amp;DATA_KO!A123,"")</f>
        <v/>
      </c>
      <c r="B126" s="273">
        <f>IF(A126&lt;&gt;"","KO","")</f>
        <v/>
      </c>
      <c r="C126" s="273">
        <f>IF(A126&lt;&gt;"",""&amp;DATA_KO!B123,"")</f>
        <v/>
      </c>
      <c r="D126" s="273">
        <f>IF(A126&lt;&gt;"",""&amp;DATA_KO!C123,"")</f>
        <v/>
      </c>
      <c r="E126" s="274">
        <f>IF(A126&lt;&gt;"",DATA_KO!G123,"")</f>
        <v/>
      </c>
      <c r="F126" s="273">
        <f>IF(A126&lt;&gt;"",""&amp;DATA_KO!H123,"")</f>
        <v/>
      </c>
      <c r="G126" s="273">
        <f>IF(A126&lt;&gt;"",""&amp;DATA_KO!D123,"")</f>
        <v/>
      </c>
      <c r="H126" s="273">
        <f>IF(A126&lt;&gt;"",""&amp;DATA_KO!E123,"")</f>
        <v/>
      </c>
      <c r="I126" s="273">
        <f>IF(A126&lt;&gt;"",""&amp;DATA_KO!F123,"")</f>
        <v/>
      </c>
      <c r="J126" s="275">
        <f>IF(A126&lt;&gt;"","➔ Inspect Lineage","")</f>
        <v/>
      </c>
    </row>
    <row r="127">
      <c r="A127" s="273">
        <f>IF(DATA_KO!A124&lt;&gt;"",""&amp;DATA_KO!A124,"")</f>
        <v/>
      </c>
      <c r="B127" s="273">
        <f>IF(A127&lt;&gt;"","KO","")</f>
        <v/>
      </c>
      <c r="C127" s="273">
        <f>IF(A127&lt;&gt;"",""&amp;DATA_KO!B124,"")</f>
        <v/>
      </c>
      <c r="D127" s="273">
        <f>IF(A127&lt;&gt;"",""&amp;DATA_KO!C124,"")</f>
        <v/>
      </c>
      <c r="E127" s="274">
        <f>IF(A127&lt;&gt;"",DATA_KO!G124,"")</f>
        <v/>
      </c>
      <c r="F127" s="273">
        <f>IF(A127&lt;&gt;"",""&amp;DATA_KO!H124,"")</f>
        <v/>
      </c>
      <c r="G127" s="273">
        <f>IF(A127&lt;&gt;"",""&amp;DATA_KO!D124,"")</f>
        <v/>
      </c>
      <c r="H127" s="273">
        <f>IF(A127&lt;&gt;"",""&amp;DATA_KO!E124,"")</f>
        <v/>
      </c>
      <c r="I127" s="273">
        <f>IF(A127&lt;&gt;"",""&amp;DATA_KO!F124,"")</f>
        <v/>
      </c>
      <c r="J127" s="275">
        <f>IF(A127&lt;&gt;"","➔ Inspect Lineage","")</f>
        <v/>
      </c>
    </row>
    <row r="128">
      <c r="A128" s="273">
        <f>IF(DATA_KO!A125&lt;&gt;"",""&amp;DATA_KO!A125,"")</f>
        <v/>
      </c>
      <c r="B128" s="273">
        <f>IF(A128&lt;&gt;"","KO","")</f>
        <v/>
      </c>
      <c r="C128" s="273">
        <f>IF(A128&lt;&gt;"",""&amp;DATA_KO!B125,"")</f>
        <v/>
      </c>
      <c r="D128" s="273">
        <f>IF(A128&lt;&gt;"",""&amp;DATA_KO!C125,"")</f>
        <v/>
      </c>
      <c r="E128" s="274">
        <f>IF(A128&lt;&gt;"",DATA_KO!G125,"")</f>
        <v/>
      </c>
      <c r="F128" s="273">
        <f>IF(A128&lt;&gt;"",""&amp;DATA_KO!H125,"")</f>
        <v/>
      </c>
      <c r="G128" s="273">
        <f>IF(A128&lt;&gt;"",""&amp;DATA_KO!D125,"")</f>
        <v/>
      </c>
      <c r="H128" s="273">
        <f>IF(A128&lt;&gt;"",""&amp;DATA_KO!E125,"")</f>
        <v/>
      </c>
      <c r="I128" s="273">
        <f>IF(A128&lt;&gt;"",""&amp;DATA_KO!F125,"")</f>
        <v/>
      </c>
      <c r="J128" s="275">
        <f>IF(A128&lt;&gt;"","➔ Inspect Lineage","")</f>
        <v/>
      </c>
    </row>
    <row r="129">
      <c r="A129" s="273">
        <f>IF(DATA_KO!A126&lt;&gt;"",""&amp;DATA_KO!A126,"")</f>
        <v/>
      </c>
      <c r="B129" s="273">
        <f>IF(A129&lt;&gt;"","KO","")</f>
        <v/>
      </c>
      <c r="C129" s="273">
        <f>IF(A129&lt;&gt;"",""&amp;DATA_KO!B126,"")</f>
        <v/>
      </c>
      <c r="D129" s="273">
        <f>IF(A129&lt;&gt;"",""&amp;DATA_KO!C126,"")</f>
        <v/>
      </c>
      <c r="E129" s="274">
        <f>IF(A129&lt;&gt;"",DATA_KO!G126,"")</f>
        <v/>
      </c>
      <c r="F129" s="273">
        <f>IF(A129&lt;&gt;"",""&amp;DATA_KO!H126,"")</f>
        <v/>
      </c>
      <c r="G129" s="273">
        <f>IF(A129&lt;&gt;"",""&amp;DATA_KO!D126,"")</f>
        <v/>
      </c>
      <c r="H129" s="273">
        <f>IF(A129&lt;&gt;"",""&amp;DATA_KO!E126,"")</f>
        <v/>
      </c>
      <c r="I129" s="273">
        <f>IF(A129&lt;&gt;"",""&amp;DATA_KO!F126,"")</f>
        <v/>
      </c>
      <c r="J129" s="275">
        <f>IF(A129&lt;&gt;"","➔ Inspect Lineage","")</f>
        <v/>
      </c>
    </row>
    <row r="130">
      <c r="A130" s="273">
        <f>IF(DATA_KO!A127&lt;&gt;"",""&amp;DATA_KO!A127,"")</f>
        <v/>
      </c>
      <c r="B130" s="273">
        <f>IF(A130&lt;&gt;"","KO","")</f>
        <v/>
      </c>
      <c r="C130" s="273">
        <f>IF(A130&lt;&gt;"",""&amp;DATA_KO!B127,"")</f>
        <v/>
      </c>
      <c r="D130" s="273">
        <f>IF(A130&lt;&gt;"",""&amp;DATA_KO!C127,"")</f>
        <v/>
      </c>
      <c r="E130" s="274">
        <f>IF(A130&lt;&gt;"",DATA_KO!G127,"")</f>
        <v/>
      </c>
      <c r="F130" s="273">
        <f>IF(A130&lt;&gt;"",""&amp;DATA_KO!H127,"")</f>
        <v/>
      </c>
      <c r="G130" s="273">
        <f>IF(A130&lt;&gt;"",""&amp;DATA_KO!D127,"")</f>
        <v/>
      </c>
      <c r="H130" s="273">
        <f>IF(A130&lt;&gt;"",""&amp;DATA_KO!E127,"")</f>
        <v/>
      </c>
      <c r="I130" s="273">
        <f>IF(A130&lt;&gt;"",""&amp;DATA_KO!F127,"")</f>
        <v/>
      </c>
      <c r="J130" s="275">
        <f>IF(A130&lt;&gt;"","➔ Inspect Lineage","")</f>
        <v/>
      </c>
    </row>
    <row r="131">
      <c r="A131" s="273">
        <f>IF(DATA_KO!A128&lt;&gt;"",""&amp;DATA_KO!A128,"")</f>
        <v/>
      </c>
      <c r="B131" s="273">
        <f>IF(A131&lt;&gt;"","KO","")</f>
        <v/>
      </c>
      <c r="C131" s="273">
        <f>IF(A131&lt;&gt;"",""&amp;DATA_KO!B128,"")</f>
        <v/>
      </c>
      <c r="D131" s="273">
        <f>IF(A131&lt;&gt;"",""&amp;DATA_KO!C128,"")</f>
        <v/>
      </c>
      <c r="E131" s="274">
        <f>IF(A131&lt;&gt;"",DATA_KO!G128,"")</f>
        <v/>
      </c>
      <c r="F131" s="273">
        <f>IF(A131&lt;&gt;"",""&amp;DATA_KO!H128,"")</f>
        <v/>
      </c>
      <c r="G131" s="273">
        <f>IF(A131&lt;&gt;"",""&amp;DATA_KO!D128,"")</f>
        <v/>
      </c>
      <c r="H131" s="273">
        <f>IF(A131&lt;&gt;"",""&amp;DATA_KO!E128,"")</f>
        <v/>
      </c>
      <c r="I131" s="273">
        <f>IF(A131&lt;&gt;"",""&amp;DATA_KO!F128,"")</f>
        <v/>
      </c>
      <c r="J131" s="275">
        <f>IF(A131&lt;&gt;"","➔ Inspect Lineage","")</f>
        <v/>
      </c>
    </row>
    <row r="132">
      <c r="A132" s="273">
        <f>IF(DATA_KO!A129&lt;&gt;"",""&amp;DATA_KO!A129,"")</f>
        <v/>
      </c>
      <c r="B132" s="273">
        <f>IF(A132&lt;&gt;"","KO","")</f>
        <v/>
      </c>
      <c r="C132" s="273">
        <f>IF(A132&lt;&gt;"",""&amp;DATA_KO!B129,"")</f>
        <v/>
      </c>
      <c r="D132" s="273">
        <f>IF(A132&lt;&gt;"",""&amp;DATA_KO!C129,"")</f>
        <v/>
      </c>
      <c r="E132" s="274">
        <f>IF(A132&lt;&gt;"",DATA_KO!G129,"")</f>
        <v/>
      </c>
      <c r="F132" s="273">
        <f>IF(A132&lt;&gt;"",""&amp;DATA_KO!H129,"")</f>
        <v/>
      </c>
      <c r="G132" s="273">
        <f>IF(A132&lt;&gt;"",""&amp;DATA_KO!D129,"")</f>
        <v/>
      </c>
      <c r="H132" s="273">
        <f>IF(A132&lt;&gt;"",""&amp;DATA_KO!E129,"")</f>
        <v/>
      </c>
      <c r="I132" s="273">
        <f>IF(A132&lt;&gt;"",""&amp;DATA_KO!F129,"")</f>
        <v/>
      </c>
      <c r="J132" s="275">
        <f>IF(A132&lt;&gt;"","➔ Inspect Lineage","")</f>
        <v/>
      </c>
    </row>
    <row r="133">
      <c r="A133" s="273">
        <f>IF(DATA_KO!A130&lt;&gt;"",""&amp;DATA_KO!A130,"")</f>
        <v/>
      </c>
      <c r="B133" s="273">
        <f>IF(A133&lt;&gt;"","KO","")</f>
        <v/>
      </c>
      <c r="C133" s="273">
        <f>IF(A133&lt;&gt;"",""&amp;DATA_KO!B130,"")</f>
        <v/>
      </c>
      <c r="D133" s="273">
        <f>IF(A133&lt;&gt;"",""&amp;DATA_KO!C130,"")</f>
        <v/>
      </c>
      <c r="E133" s="274">
        <f>IF(A133&lt;&gt;"",DATA_KO!G130,"")</f>
        <v/>
      </c>
      <c r="F133" s="273">
        <f>IF(A133&lt;&gt;"",""&amp;DATA_KO!H130,"")</f>
        <v/>
      </c>
      <c r="G133" s="273">
        <f>IF(A133&lt;&gt;"",""&amp;DATA_KO!D130,"")</f>
        <v/>
      </c>
      <c r="H133" s="273">
        <f>IF(A133&lt;&gt;"",""&amp;DATA_KO!E130,"")</f>
        <v/>
      </c>
      <c r="I133" s="273">
        <f>IF(A133&lt;&gt;"",""&amp;DATA_KO!F130,"")</f>
        <v/>
      </c>
      <c r="J133" s="275">
        <f>IF(A133&lt;&gt;"","➔ Inspect Lineage","")</f>
        <v/>
      </c>
    </row>
    <row r="134">
      <c r="A134" s="273">
        <f>IF(DATA_KO!A131&lt;&gt;"",""&amp;DATA_KO!A131,"")</f>
        <v/>
      </c>
      <c r="B134" s="273">
        <f>IF(A134&lt;&gt;"","KO","")</f>
        <v/>
      </c>
      <c r="C134" s="273">
        <f>IF(A134&lt;&gt;"",""&amp;DATA_KO!B131,"")</f>
        <v/>
      </c>
      <c r="D134" s="273">
        <f>IF(A134&lt;&gt;"",""&amp;DATA_KO!C131,"")</f>
        <v/>
      </c>
      <c r="E134" s="274">
        <f>IF(A134&lt;&gt;"",DATA_KO!G131,"")</f>
        <v/>
      </c>
      <c r="F134" s="273">
        <f>IF(A134&lt;&gt;"",""&amp;DATA_KO!H131,"")</f>
        <v/>
      </c>
      <c r="G134" s="273">
        <f>IF(A134&lt;&gt;"",""&amp;DATA_KO!D131,"")</f>
        <v/>
      </c>
      <c r="H134" s="273">
        <f>IF(A134&lt;&gt;"",""&amp;DATA_KO!E131,"")</f>
        <v/>
      </c>
      <c r="I134" s="273">
        <f>IF(A134&lt;&gt;"",""&amp;DATA_KO!F131,"")</f>
        <v/>
      </c>
      <c r="J134" s="275">
        <f>IF(A134&lt;&gt;"","➔ Inspect Lineage","")</f>
        <v/>
      </c>
    </row>
    <row r="135">
      <c r="A135" s="273">
        <f>IF(DATA_KO!A132&lt;&gt;"",""&amp;DATA_KO!A132,"")</f>
        <v/>
      </c>
      <c r="B135" s="273">
        <f>IF(A135&lt;&gt;"","KO","")</f>
        <v/>
      </c>
      <c r="C135" s="273">
        <f>IF(A135&lt;&gt;"",""&amp;DATA_KO!B132,"")</f>
        <v/>
      </c>
      <c r="D135" s="273">
        <f>IF(A135&lt;&gt;"",""&amp;DATA_KO!C132,"")</f>
        <v/>
      </c>
      <c r="E135" s="274">
        <f>IF(A135&lt;&gt;"",DATA_KO!G132,"")</f>
        <v/>
      </c>
      <c r="F135" s="273">
        <f>IF(A135&lt;&gt;"",""&amp;DATA_KO!H132,"")</f>
        <v/>
      </c>
      <c r="G135" s="273">
        <f>IF(A135&lt;&gt;"",""&amp;DATA_KO!D132,"")</f>
        <v/>
      </c>
      <c r="H135" s="273">
        <f>IF(A135&lt;&gt;"",""&amp;DATA_KO!E132,"")</f>
        <v/>
      </c>
      <c r="I135" s="273">
        <f>IF(A135&lt;&gt;"",""&amp;DATA_KO!F132,"")</f>
        <v/>
      </c>
      <c r="J135" s="275">
        <f>IF(A135&lt;&gt;"","➔ Inspect Lineage","")</f>
        <v/>
      </c>
    </row>
    <row r="136">
      <c r="A136" s="273">
        <f>IF(DATA_KO!A133&lt;&gt;"",""&amp;DATA_KO!A133,"")</f>
        <v/>
      </c>
      <c r="B136" s="273">
        <f>IF(A136&lt;&gt;"","KO","")</f>
        <v/>
      </c>
      <c r="C136" s="273">
        <f>IF(A136&lt;&gt;"",""&amp;DATA_KO!B133,"")</f>
        <v/>
      </c>
      <c r="D136" s="273">
        <f>IF(A136&lt;&gt;"",""&amp;DATA_KO!C133,"")</f>
        <v/>
      </c>
      <c r="E136" s="274">
        <f>IF(A136&lt;&gt;"",DATA_KO!G133,"")</f>
        <v/>
      </c>
      <c r="F136" s="273">
        <f>IF(A136&lt;&gt;"",""&amp;DATA_KO!H133,"")</f>
        <v/>
      </c>
      <c r="G136" s="273">
        <f>IF(A136&lt;&gt;"",""&amp;DATA_KO!D133,"")</f>
        <v/>
      </c>
      <c r="H136" s="273">
        <f>IF(A136&lt;&gt;"",""&amp;DATA_KO!E133,"")</f>
        <v/>
      </c>
      <c r="I136" s="273">
        <f>IF(A136&lt;&gt;"",""&amp;DATA_KO!F133,"")</f>
        <v/>
      </c>
      <c r="J136" s="275">
        <f>IF(A136&lt;&gt;"","➔ Inspect Lineage","")</f>
        <v/>
      </c>
    </row>
    <row r="137">
      <c r="A137" s="273">
        <f>IF(DATA_KO!A134&lt;&gt;"",""&amp;DATA_KO!A134,"")</f>
        <v/>
      </c>
      <c r="B137" s="273">
        <f>IF(A137&lt;&gt;"","KO","")</f>
        <v/>
      </c>
      <c r="C137" s="273">
        <f>IF(A137&lt;&gt;"",""&amp;DATA_KO!B134,"")</f>
        <v/>
      </c>
      <c r="D137" s="273">
        <f>IF(A137&lt;&gt;"",""&amp;DATA_KO!C134,"")</f>
        <v/>
      </c>
      <c r="E137" s="274">
        <f>IF(A137&lt;&gt;"",DATA_KO!G134,"")</f>
        <v/>
      </c>
      <c r="F137" s="273">
        <f>IF(A137&lt;&gt;"",""&amp;DATA_KO!H134,"")</f>
        <v/>
      </c>
      <c r="G137" s="273">
        <f>IF(A137&lt;&gt;"",""&amp;DATA_KO!D134,"")</f>
        <v/>
      </c>
      <c r="H137" s="273">
        <f>IF(A137&lt;&gt;"",""&amp;DATA_KO!E134,"")</f>
        <v/>
      </c>
      <c r="I137" s="273">
        <f>IF(A137&lt;&gt;"",""&amp;DATA_KO!F134,"")</f>
        <v/>
      </c>
      <c r="J137" s="275">
        <f>IF(A137&lt;&gt;"","➔ Inspect Lineage","")</f>
        <v/>
      </c>
    </row>
    <row r="138">
      <c r="A138" s="273">
        <f>IF(DATA_KO!A135&lt;&gt;"",""&amp;DATA_KO!A135,"")</f>
        <v/>
      </c>
      <c r="B138" s="273">
        <f>IF(A138&lt;&gt;"","KO","")</f>
        <v/>
      </c>
      <c r="C138" s="273">
        <f>IF(A138&lt;&gt;"",""&amp;DATA_KO!B135,"")</f>
        <v/>
      </c>
      <c r="D138" s="273">
        <f>IF(A138&lt;&gt;"",""&amp;DATA_KO!C135,"")</f>
        <v/>
      </c>
      <c r="E138" s="274">
        <f>IF(A138&lt;&gt;"",DATA_KO!G135,"")</f>
        <v/>
      </c>
      <c r="F138" s="273">
        <f>IF(A138&lt;&gt;"",""&amp;DATA_KO!H135,"")</f>
        <v/>
      </c>
      <c r="G138" s="273">
        <f>IF(A138&lt;&gt;"",""&amp;DATA_KO!D135,"")</f>
        <v/>
      </c>
      <c r="H138" s="273">
        <f>IF(A138&lt;&gt;"",""&amp;DATA_KO!E135,"")</f>
        <v/>
      </c>
      <c r="I138" s="273">
        <f>IF(A138&lt;&gt;"",""&amp;DATA_KO!F135,"")</f>
        <v/>
      </c>
      <c r="J138" s="275">
        <f>IF(A138&lt;&gt;"","➔ Inspect Lineage","")</f>
        <v/>
      </c>
    </row>
    <row r="139">
      <c r="A139" s="273">
        <f>IF(DATA_KO!A136&lt;&gt;"",""&amp;DATA_KO!A136,"")</f>
        <v/>
      </c>
      <c r="B139" s="273">
        <f>IF(A139&lt;&gt;"","KO","")</f>
        <v/>
      </c>
      <c r="C139" s="273">
        <f>IF(A139&lt;&gt;"",""&amp;DATA_KO!B136,"")</f>
        <v/>
      </c>
      <c r="D139" s="273">
        <f>IF(A139&lt;&gt;"",""&amp;DATA_KO!C136,"")</f>
        <v/>
      </c>
      <c r="E139" s="274">
        <f>IF(A139&lt;&gt;"",DATA_KO!G136,"")</f>
        <v/>
      </c>
      <c r="F139" s="273">
        <f>IF(A139&lt;&gt;"",""&amp;DATA_KO!H136,"")</f>
        <v/>
      </c>
      <c r="G139" s="273">
        <f>IF(A139&lt;&gt;"",""&amp;DATA_KO!D136,"")</f>
        <v/>
      </c>
      <c r="H139" s="273">
        <f>IF(A139&lt;&gt;"",""&amp;DATA_KO!E136,"")</f>
        <v/>
      </c>
      <c r="I139" s="273">
        <f>IF(A139&lt;&gt;"",""&amp;DATA_KO!F136,"")</f>
        <v/>
      </c>
      <c r="J139" s="275">
        <f>IF(A139&lt;&gt;"","➔ Inspect Lineage","")</f>
        <v/>
      </c>
    </row>
    <row r="140">
      <c r="A140" s="273">
        <f>IF(DATA_KO!A137&lt;&gt;"",""&amp;DATA_KO!A137,"")</f>
        <v/>
      </c>
      <c r="B140" s="273">
        <f>IF(A140&lt;&gt;"","KO","")</f>
        <v/>
      </c>
      <c r="C140" s="273">
        <f>IF(A140&lt;&gt;"",""&amp;DATA_KO!B137,"")</f>
        <v/>
      </c>
      <c r="D140" s="273">
        <f>IF(A140&lt;&gt;"",""&amp;DATA_KO!C137,"")</f>
        <v/>
      </c>
      <c r="E140" s="274">
        <f>IF(A140&lt;&gt;"",DATA_KO!G137,"")</f>
        <v/>
      </c>
      <c r="F140" s="273">
        <f>IF(A140&lt;&gt;"",""&amp;DATA_KO!H137,"")</f>
        <v/>
      </c>
      <c r="G140" s="273">
        <f>IF(A140&lt;&gt;"",""&amp;DATA_KO!D137,"")</f>
        <v/>
      </c>
      <c r="H140" s="273">
        <f>IF(A140&lt;&gt;"",""&amp;DATA_KO!E137,"")</f>
        <v/>
      </c>
      <c r="I140" s="273">
        <f>IF(A140&lt;&gt;"",""&amp;DATA_KO!F137,"")</f>
        <v/>
      </c>
      <c r="J140" s="275">
        <f>IF(A140&lt;&gt;"","➔ Inspect Lineage","")</f>
        <v/>
      </c>
    </row>
    <row r="141">
      <c r="A141" s="273">
        <f>IF(DATA_KO!A138&lt;&gt;"",""&amp;DATA_KO!A138,"")</f>
        <v/>
      </c>
      <c r="B141" s="273">
        <f>IF(A141&lt;&gt;"","KO","")</f>
        <v/>
      </c>
      <c r="C141" s="273">
        <f>IF(A141&lt;&gt;"",""&amp;DATA_KO!B138,"")</f>
        <v/>
      </c>
      <c r="D141" s="273">
        <f>IF(A141&lt;&gt;"",""&amp;DATA_KO!C138,"")</f>
        <v/>
      </c>
      <c r="E141" s="274">
        <f>IF(A141&lt;&gt;"",DATA_KO!G138,"")</f>
        <v/>
      </c>
      <c r="F141" s="273">
        <f>IF(A141&lt;&gt;"",""&amp;DATA_KO!H138,"")</f>
        <v/>
      </c>
      <c r="G141" s="273">
        <f>IF(A141&lt;&gt;"",""&amp;DATA_KO!D138,"")</f>
        <v/>
      </c>
      <c r="H141" s="273">
        <f>IF(A141&lt;&gt;"",""&amp;DATA_KO!E138,"")</f>
        <v/>
      </c>
      <c r="I141" s="273">
        <f>IF(A141&lt;&gt;"",""&amp;DATA_KO!F138,"")</f>
        <v/>
      </c>
      <c r="J141" s="275">
        <f>IF(A141&lt;&gt;"","➔ Inspect Lineage","")</f>
        <v/>
      </c>
    </row>
    <row r="142">
      <c r="A142" s="273">
        <f>IF(DATA_KO!A139&lt;&gt;"",""&amp;DATA_KO!A139,"")</f>
        <v/>
      </c>
      <c r="B142" s="273">
        <f>IF(A142&lt;&gt;"","KO","")</f>
        <v/>
      </c>
      <c r="C142" s="273">
        <f>IF(A142&lt;&gt;"",""&amp;DATA_KO!B139,"")</f>
        <v/>
      </c>
      <c r="D142" s="273">
        <f>IF(A142&lt;&gt;"",""&amp;DATA_KO!C139,"")</f>
        <v/>
      </c>
      <c r="E142" s="274">
        <f>IF(A142&lt;&gt;"",DATA_KO!G139,"")</f>
        <v/>
      </c>
      <c r="F142" s="273">
        <f>IF(A142&lt;&gt;"",""&amp;DATA_KO!H139,"")</f>
        <v/>
      </c>
      <c r="G142" s="273">
        <f>IF(A142&lt;&gt;"",""&amp;DATA_KO!D139,"")</f>
        <v/>
      </c>
      <c r="H142" s="273">
        <f>IF(A142&lt;&gt;"",""&amp;DATA_KO!E139,"")</f>
        <v/>
      </c>
      <c r="I142" s="273">
        <f>IF(A142&lt;&gt;"",""&amp;DATA_KO!F139,"")</f>
        <v/>
      </c>
      <c r="J142" s="275">
        <f>IF(A142&lt;&gt;"","➔ Inspect Lineage","")</f>
        <v/>
      </c>
    </row>
    <row r="143">
      <c r="A143" s="273">
        <f>IF(DATA_KO!A140&lt;&gt;"",""&amp;DATA_KO!A140,"")</f>
        <v/>
      </c>
      <c r="B143" s="273">
        <f>IF(A143&lt;&gt;"","KO","")</f>
        <v/>
      </c>
      <c r="C143" s="273">
        <f>IF(A143&lt;&gt;"",""&amp;DATA_KO!B140,"")</f>
        <v/>
      </c>
      <c r="D143" s="273">
        <f>IF(A143&lt;&gt;"",""&amp;DATA_KO!C140,"")</f>
        <v/>
      </c>
      <c r="E143" s="274">
        <f>IF(A143&lt;&gt;"",DATA_KO!G140,"")</f>
        <v/>
      </c>
      <c r="F143" s="273">
        <f>IF(A143&lt;&gt;"",""&amp;DATA_KO!H140,"")</f>
        <v/>
      </c>
      <c r="G143" s="273">
        <f>IF(A143&lt;&gt;"",""&amp;DATA_KO!D140,"")</f>
        <v/>
      </c>
      <c r="H143" s="273">
        <f>IF(A143&lt;&gt;"",""&amp;DATA_KO!E140,"")</f>
        <v/>
      </c>
      <c r="I143" s="273">
        <f>IF(A143&lt;&gt;"",""&amp;DATA_KO!F140,"")</f>
        <v/>
      </c>
      <c r="J143" s="275">
        <f>IF(A143&lt;&gt;"","➔ Inspect Lineage","")</f>
        <v/>
      </c>
    </row>
    <row r="144">
      <c r="A144" s="273">
        <f>IF(DATA_KO!A141&lt;&gt;"",""&amp;DATA_KO!A141,"")</f>
        <v/>
      </c>
      <c r="B144" s="273">
        <f>IF(A144&lt;&gt;"","KO","")</f>
        <v/>
      </c>
      <c r="C144" s="273">
        <f>IF(A144&lt;&gt;"",""&amp;DATA_KO!B141,"")</f>
        <v/>
      </c>
      <c r="D144" s="273">
        <f>IF(A144&lt;&gt;"",""&amp;DATA_KO!C141,"")</f>
        <v/>
      </c>
      <c r="E144" s="274">
        <f>IF(A144&lt;&gt;"",DATA_KO!G141,"")</f>
        <v/>
      </c>
      <c r="F144" s="273">
        <f>IF(A144&lt;&gt;"",""&amp;DATA_KO!H141,"")</f>
        <v/>
      </c>
      <c r="G144" s="273">
        <f>IF(A144&lt;&gt;"",""&amp;DATA_KO!D141,"")</f>
        <v/>
      </c>
      <c r="H144" s="273">
        <f>IF(A144&lt;&gt;"",""&amp;DATA_KO!E141,"")</f>
        <v/>
      </c>
      <c r="I144" s="273">
        <f>IF(A144&lt;&gt;"",""&amp;DATA_KO!F141,"")</f>
        <v/>
      </c>
      <c r="J144" s="275">
        <f>IF(A144&lt;&gt;"","➔ Inspect Lineage","")</f>
        <v/>
      </c>
    </row>
    <row r="145">
      <c r="A145" s="273">
        <f>IF(DATA_KO!A142&lt;&gt;"",""&amp;DATA_KO!A142,"")</f>
        <v/>
      </c>
      <c r="B145" s="273">
        <f>IF(A145&lt;&gt;"","KO","")</f>
        <v/>
      </c>
      <c r="C145" s="273">
        <f>IF(A145&lt;&gt;"",""&amp;DATA_KO!B142,"")</f>
        <v/>
      </c>
      <c r="D145" s="273">
        <f>IF(A145&lt;&gt;"",""&amp;DATA_KO!C142,"")</f>
        <v/>
      </c>
      <c r="E145" s="274">
        <f>IF(A145&lt;&gt;"",DATA_KO!G142,"")</f>
        <v/>
      </c>
      <c r="F145" s="273">
        <f>IF(A145&lt;&gt;"",""&amp;DATA_KO!H142,"")</f>
        <v/>
      </c>
      <c r="G145" s="273">
        <f>IF(A145&lt;&gt;"",""&amp;DATA_KO!D142,"")</f>
        <v/>
      </c>
      <c r="H145" s="273">
        <f>IF(A145&lt;&gt;"",""&amp;DATA_KO!E142,"")</f>
        <v/>
      </c>
      <c r="I145" s="273">
        <f>IF(A145&lt;&gt;"",""&amp;DATA_KO!F142,"")</f>
        <v/>
      </c>
      <c r="J145" s="275">
        <f>IF(A145&lt;&gt;"","➔ Inspect Lineage","")</f>
        <v/>
      </c>
    </row>
    <row r="146">
      <c r="A146" s="273">
        <f>IF(DATA_KO!A143&lt;&gt;"",""&amp;DATA_KO!A143,"")</f>
        <v/>
      </c>
      <c r="B146" s="273">
        <f>IF(A146&lt;&gt;"","KO","")</f>
        <v/>
      </c>
      <c r="C146" s="273">
        <f>IF(A146&lt;&gt;"",""&amp;DATA_KO!B143,"")</f>
        <v/>
      </c>
      <c r="D146" s="273">
        <f>IF(A146&lt;&gt;"",""&amp;DATA_KO!C143,"")</f>
        <v/>
      </c>
      <c r="E146" s="274">
        <f>IF(A146&lt;&gt;"",DATA_KO!G143,"")</f>
        <v/>
      </c>
      <c r="F146" s="273">
        <f>IF(A146&lt;&gt;"",""&amp;DATA_KO!H143,"")</f>
        <v/>
      </c>
      <c r="G146" s="273">
        <f>IF(A146&lt;&gt;"",""&amp;DATA_KO!D143,"")</f>
        <v/>
      </c>
      <c r="H146" s="273">
        <f>IF(A146&lt;&gt;"",""&amp;DATA_KO!E143,"")</f>
        <v/>
      </c>
      <c r="I146" s="273">
        <f>IF(A146&lt;&gt;"",""&amp;DATA_KO!F143,"")</f>
        <v/>
      </c>
      <c r="J146" s="275">
        <f>IF(A146&lt;&gt;"","➔ Inspect Lineage","")</f>
        <v/>
      </c>
    </row>
    <row r="147">
      <c r="A147" s="273">
        <f>IF(DATA_KO!A144&lt;&gt;"",""&amp;DATA_KO!A144,"")</f>
        <v/>
      </c>
      <c r="B147" s="273">
        <f>IF(A147&lt;&gt;"","KO","")</f>
        <v/>
      </c>
      <c r="C147" s="273">
        <f>IF(A147&lt;&gt;"",""&amp;DATA_KO!B144,"")</f>
        <v/>
      </c>
      <c r="D147" s="273">
        <f>IF(A147&lt;&gt;"",""&amp;DATA_KO!C144,"")</f>
        <v/>
      </c>
      <c r="E147" s="274">
        <f>IF(A147&lt;&gt;"",DATA_KO!G144,"")</f>
        <v/>
      </c>
      <c r="F147" s="273">
        <f>IF(A147&lt;&gt;"",""&amp;DATA_KO!H144,"")</f>
        <v/>
      </c>
      <c r="G147" s="273">
        <f>IF(A147&lt;&gt;"",""&amp;DATA_KO!D144,"")</f>
        <v/>
      </c>
      <c r="H147" s="273">
        <f>IF(A147&lt;&gt;"",""&amp;DATA_KO!E144,"")</f>
        <v/>
      </c>
      <c r="I147" s="273">
        <f>IF(A147&lt;&gt;"",""&amp;DATA_KO!F144,"")</f>
        <v/>
      </c>
      <c r="J147" s="275">
        <f>IF(A147&lt;&gt;"","➔ Inspect Lineage","")</f>
        <v/>
      </c>
    </row>
    <row r="148">
      <c r="A148" s="273">
        <f>IF(DATA_KO!A145&lt;&gt;"",""&amp;DATA_KO!A145,"")</f>
        <v/>
      </c>
      <c r="B148" s="273">
        <f>IF(A148&lt;&gt;"","KO","")</f>
        <v/>
      </c>
      <c r="C148" s="273">
        <f>IF(A148&lt;&gt;"",""&amp;DATA_KO!B145,"")</f>
        <v/>
      </c>
      <c r="D148" s="273">
        <f>IF(A148&lt;&gt;"",""&amp;DATA_KO!C145,"")</f>
        <v/>
      </c>
      <c r="E148" s="274">
        <f>IF(A148&lt;&gt;"",DATA_KO!G145,"")</f>
        <v/>
      </c>
      <c r="F148" s="273">
        <f>IF(A148&lt;&gt;"",""&amp;DATA_KO!H145,"")</f>
        <v/>
      </c>
      <c r="G148" s="273">
        <f>IF(A148&lt;&gt;"",""&amp;DATA_KO!D145,"")</f>
        <v/>
      </c>
      <c r="H148" s="273">
        <f>IF(A148&lt;&gt;"",""&amp;DATA_KO!E145,"")</f>
        <v/>
      </c>
      <c r="I148" s="273">
        <f>IF(A148&lt;&gt;"",""&amp;DATA_KO!F145,"")</f>
        <v/>
      </c>
      <c r="J148" s="275">
        <f>IF(A148&lt;&gt;"","➔ Inspect Lineage","")</f>
        <v/>
      </c>
    </row>
    <row r="149">
      <c r="A149" s="273">
        <f>IF(DATA_KO!A146&lt;&gt;"",""&amp;DATA_KO!A146,"")</f>
        <v/>
      </c>
      <c r="B149" s="273">
        <f>IF(A149&lt;&gt;"","KO","")</f>
        <v/>
      </c>
      <c r="C149" s="273">
        <f>IF(A149&lt;&gt;"",""&amp;DATA_KO!B146,"")</f>
        <v/>
      </c>
      <c r="D149" s="273">
        <f>IF(A149&lt;&gt;"",""&amp;DATA_KO!C146,"")</f>
        <v/>
      </c>
      <c r="E149" s="274">
        <f>IF(A149&lt;&gt;"",DATA_KO!G146,"")</f>
        <v/>
      </c>
      <c r="F149" s="273">
        <f>IF(A149&lt;&gt;"",""&amp;DATA_KO!H146,"")</f>
        <v/>
      </c>
      <c r="G149" s="273">
        <f>IF(A149&lt;&gt;"",""&amp;DATA_KO!D146,"")</f>
        <v/>
      </c>
      <c r="H149" s="273">
        <f>IF(A149&lt;&gt;"",""&amp;DATA_KO!E146,"")</f>
        <v/>
      </c>
      <c r="I149" s="273">
        <f>IF(A149&lt;&gt;"",""&amp;DATA_KO!F146,"")</f>
        <v/>
      </c>
      <c r="J149" s="275">
        <f>IF(A149&lt;&gt;"","➔ Inspect Lineage","")</f>
        <v/>
      </c>
    </row>
    <row r="150">
      <c r="A150" s="273">
        <f>IF(DATA_KO!A147&lt;&gt;"",""&amp;DATA_KO!A147,"")</f>
        <v/>
      </c>
      <c r="B150" s="273">
        <f>IF(A150&lt;&gt;"","KO","")</f>
        <v/>
      </c>
      <c r="C150" s="273">
        <f>IF(A150&lt;&gt;"",""&amp;DATA_KO!B147,"")</f>
        <v/>
      </c>
      <c r="D150" s="273">
        <f>IF(A150&lt;&gt;"",""&amp;DATA_KO!C147,"")</f>
        <v/>
      </c>
      <c r="E150" s="274">
        <f>IF(A150&lt;&gt;"",DATA_KO!G147,"")</f>
        <v/>
      </c>
      <c r="F150" s="273">
        <f>IF(A150&lt;&gt;"",""&amp;DATA_KO!H147,"")</f>
        <v/>
      </c>
      <c r="G150" s="273">
        <f>IF(A150&lt;&gt;"",""&amp;DATA_KO!D147,"")</f>
        <v/>
      </c>
      <c r="H150" s="273">
        <f>IF(A150&lt;&gt;"",""&amp;DATA_KO!E147,"")</f>
        <v/>
      </c>
      <c r="I150" s="273">
        <f>IF(A150&lt;&gt;"",""&amp;DATA_KO!F147,"")</f>
        <v/>
      </c>
      <c r="J150" s="275">
        <f>IF(A150&lt;&gt;"","➔ Inspect Lineage","")</f>
        <v/>
      </c>
    </row>
    <row r="151">
      <c r="A151" s="273">
        <f>IF(DATA_KO!A148&lt;&gt;"",""&amp;DATA_KO!A148,"")</f>
        <v/>
      </c>
      <c r="B151" s="273">
        <f>IF(A151&lt;&gt;"","KO","")</f>
        <v/>
      </c>
      <c r="C151" s="273">
        <f>IF(A151&lt;&gt;"",""&amp;DATA_KO!B148,"")</f>
        <v/>
      </c>
      <c r="D151" s="273">
        <f>IF(A151&lt;&gt;"",""&amp;DATA_KO!C148,"")</f>
        <v/>
      </c>
      <c r="E151" s="274">
        <f>IF(A151&lt;&gt;"",DATA_KO!G148,"")</f>
        <v/>
      </c>
      <c r="F151" s="273">
        <f>IF(A151&lt;&gt;"",""&amp;DATA_KO!H148,"")</f>
        <v/>
      </c>
      <c r="G151" s="273">
        <f>IF(A151&lt;&gt;"",""&amp;DATA_KO!D148,"")</f>
        <v/>
      </c>
      <c r="H151" s="273">
        <f>IF(A151&lt;&gt;"",""&amp;DATA_KO!E148,"")</f>
        <v/>
      </c>
      <c r="I151" s="273">
        <f>IF(A151&lt;&gt;"",""&amp;DATA_KO!F148,"")</f>
        <v/>
      </c>
      <c r="J151" s="275">
        <f>IF(A151&lt;&gt;"","➔ Inspect Lineage","")</f>
        <v/>
      </c>
    </row>
    <row r="152">
      <c r="A152" s="273">
        <f>IF(DATA_KO!A149&lt;&gt;"",""&amp;DATA_KO!A149,"")</f>
        <v/>
      </c>
      <c r="B152" s="273">
        <f>IF(A152&lt;&gt;"","KO","")</f>
        <v/>
      </c>
      <c r="C152" s="273">
        <f>IF(A152&lt;&gt;"",""&amp;DATA_KO!B149,"")</f>
        <v/>
      </c>
      <c r="D152" s="273">
        <f>IF(A152&lt;&gt;"",""&amp;DATA_KO!C149,"")</f>
        <v/>
      </c>
      <c r="E152" s="274">
        <f>IF(A152&lt;&gt;"",DATA_KO!G149,"")</f>
        <v/>
      </c>
      <c r="F152" s="273">
        <f>IF(A152&lt;&gt;"",""&amp;DATA_KO!H149,"")</f>
        <v/>
      </c>
      <c r="G152" s="273">
        <f>IF(A152&lt;&gt;"",""&amp;DATA_KO!D149,"")</f>
        <v/>
      </c>
      <c r="H152" s="273">
        <f>IF(A152&lt;&gt;"",""&amp;DATA_KO!E149,"")</f>
        <v/>
      </c>
      <c r="I152" s="273">
        <f>IF(A152&lt;&gt;"",""&amp;DATA_KO!F149,"")</f>
        <v/>
      </c>
      <c r="J152" s="275">
        <f>IF(A152&lt;&gt;"","➔ Inspect Lineage","")</f>
        <v/>
      </c>
    </row>
    <row r="153">
      <c r="A153" s="273">
        <f>IF(DATA_KO!A150&lt;&gt;"",""&amp;DATA_KO!A150,"")</f>
        <v/>
      </c>
      <c r="B153" s="273">
        <f>IF(A153&lt;&gt;"","KO","")</f>
        <v/>
      </c>
      <c r="C153" s="273">
        <f>IF(A153&lt;&gt;"",""&amp;DATA_KO!B150,"")</f>
        <v/>
      </c>
      <c r="D153" s="273">
        <f>IF(A153&lt;&gt;"",""&amp;DATA_KO!C150,"")</f>
        <v/>
      </c>
      <c r="E153" s="274">
        <f>IF(A153&lt;&gt;"",DATA_KO!G150,"")</f>
        <v/>
      </c>
      <c r="F153" s="273">
        <f>IF(A153&lt;&gt;"",""&amp;DATA_KO!H150,"")</f>
        <v/>
      </c>
      <c r="G153" s="273">
        <f>IF(A153&lt;&gt;"",""&amp;DATA_KO!D150,"")</f>
        <v/>
      </c>
      <c r="H153" s="273">
        <f>IF(A153&lt;&gt;"",""&amp;DATA_KO!E150,"")</f>
        <v/>
      </c>
      <c r="I153" s="273">
        <f>IF(A153&lt;&gt;"",""&amp;DATA_KO!F150,"")</f>
        <v/>
      </c>
      <c r="J153" s="275">
        <f>IF(A153&lt;&gt;"","➔ Inspect Lineage","")</f>
        <v/>
      </c>
    </row>
    <row r="154">
      <c r="A154" s="273">
        <f>IF(DATA_KO!A151&lt;&gt;"",""&amp;DATA_KO!A151,"")</f>
        <v/>
      </c>
      <c r="B154" s="273">
        <f>IF(A154&lt;&gt;"","KO","")</f>
        <v/>
      </c>
      <c r="C154" s="273">
        <f>IF(A154&lt;&gt;"",""&amp;DATA_KO!B151,"")</f>
        <v/>
      </c>
      <c r="D154" s="273">
        <f>IF(A154&lt;&gt;"",""&amp;DATA_KO!C151,"")</f>
        <v/>
      </c>
      <c r="E154" s="274">
        <f>IF(A154&lt;&gt;"",DATA_KO!G151,"")</f>
        <v/>
      </c>
      <c r="F154" s="273">
        <f>IF(A154&lt;&gt;"",""&amp;DATA_KO!H151,"")</f>
        <v/>
      </c>
      <c r="G154" s="273">
        <f>IF(A154&lt;&gt;"",""&amp;DATA_KO!D151,"")</f>
        <v/>
      </c>
      <c r="H154" s="273">
        <f>IF(A154&lt;&gt;"",""&amp;DATA_KO!E151,"")</f>
        <v/>
      </c>
      <c r="I154" s="273">
        <f>IF(A154&lt;&gt;"",""&amp;DATA_KO!F151,"")</f>
        <v/>
      </c>
      <c r="J154" s="275">
        <f>IF(A154&lt;&gt;"","➔ Inspect Lineage","")</f>
        <v/>
      </c>
    </row>
    <row r="155">
      <c r="A155" s="273">
        <f>IF(DATA_KO!A152&lt;&gt;"",""&amp;DATA_KO!A152,"")</f>
        <v/>
      </c>
      <c r="B155" s="273">
        <f>IF(A155&lt;&gt;"","KO","")</f>
        <v/>
      </c>
      <c r="C155" s="273">
        <f>IF(A155&lt;&gt;"",""&amp;DATA_KO!B152,"")</f>
        <v/>
      </c>
      <c r="D155" s="273">
        <f>IF(A155&lt;&gt;"",""&amp;DATA_KO!C152,"")</f>
        <v/>
      </c>
      <c r="E155" s="274">
        <f>IF(A155&lt;&gt;"",DATA_KO!G152,"")</f>
        <v/>
      </c>
      <c r="F155" s="273">
        <f>IF(A155&lt;&gt;"",""&amp;DATA_KO!H152,"")</f>
        <v/>
      </c>
      <c r="G155" s="273">
        <f>IF(A155&lt;&gt;"",""&amp;DATA_KO!D152,"")</f>
        <v/>
      </c>
      <c r="H155" s="273">
        <f>IF(A155&lt;&gt;"",""&amp;DATA_KO!E152,"")</f>
        <v/>
      </c>
      <c r="I155" s="273">
        <f>IF(A155&lt;&gt;"",""&amp;DATA_KO!F152,"")</f>
        <v/>
      </c>
      <c r="J155" s="275">
        <f>IF(A155&lt;&gt;"","➔ Inspect Lineage","")</f>
        <v/>
      </c>
    </row>
    <row r="156">
      <c r="A156" s="273">
        <f>IF(DATA_KO!A153&lt;&gt;"",""&amp;DATA_KO!A153,"")</f>
        <v/>
      </c>
      <c r="B156" s="273">
        <f>IF(A156&lt;&gt;"","KO","")</f>
        <v/>
      </c>
      <c r="C156" s="273">
        <f>IF(A156&lt;&gt;"",""&amp;DATA_KO!B153,"")</f>
        <v/>
      </c>
      <c r="D156" s="273">
        <f>IF(A156&lt;&gt;"",""&amp;DATA_KO!C153,"")</f>
        <v/>
      </c>
      <c r="E156" s="274">
        <f>IF(A156&lt;&gt;"",DATA_KO!G153,"")</f>
        <v/>
      </c>
      <c r="F156" s="273">
        <f>IF(A156&lt;&gt;"",""&amp;DATA_KO!H153,"")</f>
        <v/>
      </c>
      <c r="G156" s="273">
        <f>IF(A156&lt;&gt;"",""&amp;DATA_KO!D153,"")</f>
        <v/>
      </c>
      <c r="H156" s="273">
        <f>IF(A156&lt;&gt;"",""&amp;DATA_KO!E153,"")</f>
        <v/>
      </c>
      <c r="I156" s="273">
        <f>IF(A156&lt;&gt;"",""&amp;DATA_KO!F153,"")</f>
        <v/>
      </c>
      <c r="J156" s="275">
        <f>IF(A156&lt;&gt;"","➔ Inspect Lineage","")</f>
        <v/>
      </c>
    </row>
    <row r="157">
      <c r="A157" s="273">
        <f>IF(DATA_KO!A154&lt;&gt;"",""&amp;DATA_KO!A154,"")</f>
        <v/>
      </c>
      <c r="B157" s="273">
        <f>IF(A157&lt;&gt;"","KO","")</f>
        <v/>
      </c>
      <c r="C157" s="273">
        <f>IF(A157&lt;&gt;"",""&amp;DATA_KO!B154,"")</f>
        <v/>
      </c>
      <c r="D157" s="273">
        <f>IF(A157&lt;&gt;"",""&amp;DATA_KO!C154,"")</f>
        <v/>
      </c>
      <c r="E157" s="274">
        <f>IF(A157&lt;&gt;"",DATA_KO!G154,"")</f>
        <v/>
      </c>
      <c r="F157" s="273">
        <f>IF(A157&lt;&gt;"",""&amp;DATA_KO!H154,"")</f>
        <v/>
      </c>
      <c r="G157" s="273">
        <f>IF(A157&lt;&gt;"",""&amp;DATA_KO!D154,"")</f>
        <v/>
      </c>
      <c r="H157" s="273">
        <f>IF(A157&lt;&gt;"",""&amp;DATA_KO!E154,"")</f>
        <v/>
      </c>
      <c r="I157" s="273">
        <f>IF(A157&lt;&gt;"",""&amp;DATA_KO!F154,"")</f>
        <v/>
      </c>
      <c r="J157" s="275">
        <f>IF(A157&lt;&gt;"","➔ Inspect Lineage","")</f>
        <v/>
      </c>
    </row>
    <row r="158">
      <c r="A158" s="273">
        <f>IF(DATA_KO!A155&lt;&gt;"",""&amp;DATA_KO!A155,"")</f>
        <v/>
      </c>
      <c r="B158" s="273">
        <f>IF(A158&lt;&gt;"","KO","")</f>
        <v/>
      </c>
      <c r="C158" s="273">
        <f>IF(A158&lt;&gt;"",""&amp;DATA_KO!B155,"")</f>
        <v/>
      </c>
      <c r="D158" s="273">
        <f>IF(A158&lt;&gt;"",""&amp;DATA_KO!C155,"")</f>
        <v/>
      </c>
      <c r="E158" s="274">
        <f>IF(A158&lt;&gt;"",DATA_KO!G155,"")</f>
        <v/>
      </c>
      <c r="F158" s="273">
        <f>IF(A158&lt;&gt;"",""&amp;DATA_KO!H155,"")</f>
        <v/>
      </c>
      <c r="G158" s="273">
        <f>IF(A158&lt;&gt;"",""&amp;DATA_KO!D155,"")</f>
        <v/>
      </c>
      <c r="H158" s="273">
        <f>IF(A158&lt;&gt;"",""&amp;DATA_KO!E155,"")</f>
        <v/>
      </c>
      <c r="I158" s="273">
        <f>IF(A158&lt;&gt;"",""&amp;DATA_KO!F155,"")</f>
        <v/>
      </c>
      <c r="J158" s="275">
        <f>IF(A158&lt;&gt;"","➔ Inspect Lineage","")</f>
        <v/>
      </c>
    </row>
    <row r="159">
      <c r="A159" s="273">
        <f>IF(DATA_KO!A156&lt;&gt;"",""&amp;DATA_KO!A156,"")</f>
        <v/>
      </c>
      <c r="B159" s="273">
        <f>IF(A159&lt;&gt;"","KO","")</f>
        <v/>
      </c>
      <c r="C159" s="273">
        <f>IF(A159&lt;&gt;"",""&amp;DATA_KO!B156,"")</f>
        <v/>
      </c>
      <c r="D159" s="273">
        <f>IF(A159&lt;&gt;"",""&amp;DATA_KO!C156,"")</f>
        <v/>
      </c>
      <c r="E159" s="274">
        <f>IF(A159&lt;&gt;"",DATA_KO!G156,"")</f>
        <v/>
      </c>
      <c r="F159" s="273">
        <f>IF(A159&lt;&gt;"",""&amp;DATA_KO!H156,"")</f>
        <v/>
      </c>
      <c r="G159" s="273">
        <f>IF(A159&lt;&gt;"",""&amp;DATA_KO!D156,"")</f>
        <v/>
      </c>
      <c r="H159" s="273">
        <f>IF(A159&lt;&gt;"",""&amp;DATA_KO!E156,"")</f>
        <v/>
      </c>
      <c r="I159" s="273">
        <f>IF(A159&lt;&gt;"",""&amp;DATA_KO!F156,"")</f>
        <v/>
      </c>
      <c r="J159" s="275">
        <f>IF(A159&lt;&gt;"","➔ Inspect Lineage","")</f>
        <v/>
      </c>
    </row>
    <row r="160">
      <c r="A160" s="273">
        <f>IF(DATA_KO!A157&lt;&gt;"",""&amp;DATA_KO!A157,"")</f>
        <v/>
      </c>
      <c r="B160" s="273">
        <f>IF(A160&lt;&gt;"","KO","")</f>
        <v/>
      </c>
      <c r="C160" s="273">
        <f>IF(A160&lt;&gt;"",""&amp;DATA_KO!B157,"")</f>
        <v/>
      </c>
      <c r="D160" s="273">
        <f>IF(A160&lt;&gt;"",""&amp;DATA_KO!C157,"")</f>
        <v/>
      </c>
      <c r="E160" s="274">
        <f>IF(A160&lt;&gt;"",DATA_KO!G157,"")</f>
        <v/>
      </c>
      <c r="F160" s="273">
        <f>IF(A160&lt;&gt;"",""&amp;DATA_KO!H157,"")</f>
        <v/>
      </c>
      <c r="G160" s="273">
        <f>IF(A160&lt;&gt;"",""&amp;DATA_KO!D157,"")</f>
        <v/>
      </c>
      <c r="H160" s="273">
        <f>IF(A160&lt;&gt;"",""&amp;DATA_KO!E157,"")</f>
        <v/>
      </c>
      <c r="I160" s="273">
        <f>IF(A160&lt;&gt;"",""&amp;DATA_KO!F157,"")</f>
        <v/>
      </c>
      <c r="J160" s="275">
        <f>IF(A160&lt;&gt;"","➔ Inspect Lineage","")</f>
        <v/>
      </c>
    </row>
    <row r="161">
      <c r="A161" s="273">
        <f>IF(DATA_KO!A158&lt;&gt;"",""&amp;DATA_KO!A158,"")</f>
        <v/>
      </c>
      <c r="B161" s="273">
        <f>IF(A161&lt;&gt;"","KO","")</f>
        <v/>
      </c>
      <c r="C161" s="273">
        <f>IF(A161&lt;&gt;"",""&amp;DATA_KO!B158,"")</f>
        <v/>
      </c>
      <c r="D161" s="273">
        <f>IF(A161&lt;&gt;"",""&amp;DATA_KO!C158,"")</f>
        <v/>
      </c>
      <c r="E161" s="274">
        <f>IF(A161&lt;&gt;"",DATA_KO!G158,"")</f>
        <v/>
      </c>
      <c r="F161" s="273">
        <f>IF(A161&lt;&gt;"",""&amp;DATA_KO!H158,"")</f>
        <v/>
      </c>
      <c r="G161" s="273">
        <f>IF(A161&lt;&gt;"",""&amp;DATA_KO!D158,"")</f>
        <v/>
      </c>
      <c r="H161" s="273">
        <f>IF(A161&lt;&gt;"",""&amp;DATA_KO!E158,"")</f>
        <v/>
      </c>
      <c r="I161" s="273">
        <f>IF(A161&lt;&gt;"",""&amp;DATA_KO!F158,"")</f>
        <v/>
      </c>
      <c r="J161" s="275">
        <f>IF(A161&lt;&gt;"","➔ Inspect Lineage","")</f>
        <v/>
      </c>
    </row>
    <row r="162">
      <c r="A162" s="273">
        <f>IF(DATA_KO!A159&lt;&gt;"",""&amp;DATA_KO!A159,"")</f>
        <v/>
      </c>
      <c r="B162" s="273">
        <f>IF(A162&lt;&gt;"","KO","")</f>
        <v/>
      </c>
      <c r="C162" s="273">
        <f>IF(A162&lt;&gt;"",""&amp;DATA_KO!B159,"")</f>
        <v/>
      </c>
      <c r="D162" s="273">
        <f>IF(A162&lt;&gt;"",""&amp;DATA_KO!C159,"")</f>
        <v/>
      </c>
      <c r="E162" s="274">
        <f>IF(A162&lt;&gt;"",DATA_KO!G159,"")</f>
        <v/>
      </c>
      <c r="F162" s="273">
        <f>IF(A162&lt;&gt;"",""&amp;DATA_KO!H159,"")</f>
        <v/>
      </c>
      <c r="G162" s="273">
        <f>IF(A162&lt;&gt;"",""&amp;DATA_KO!D159,"")</f>
        <v/>
      </c>
      <c r="H162" s="273">
        <f>IF(A162&lt;&gt;"",""&amp;DATA_KO!E159,"")</f>
        <v/>
      </c>
      <c r="I162" s="273">
        <f>IF(A162&lt;&gt;"",""&amp;DATA_KO!F159,"")</f>
        <v/>
      </c>
      <c r="J162" s="275">
        <f>IF(A162&lt;&gt;"","➔ Inspect Lineage","")</f>
        <v/>
      </c>
    </row>
    <row r="163">
      <c r="A163" s="273">
        <f>IF(DATA_KO!A160&lt;&gt;"",""&amp;DATA_KO!A160,"")</f>
        <v/>
      </c>
      <c r="B163" s="273">
        <f>IF(A163&lt;&gt;"","KO","")</f>
        <v/>
      </c>
      <c r="C163" s="273">
        <f>IF(A163&lt;&gt;"",""&amp;DATA_KO!B160,"")</f>
        <v/>
      </c>
      <c r="D163" s="273">
        <f>IF(A163&lt;&gt;"",""&amp;DATA_KO!C160,"")</f>
        <v/>
      </c>
      <c r="E163" s="274">
        <f>IF(A163&lt;&gt;"",DATA_KO!G160,"")</f>
        <v/>
      </c>
      <c r="F163" s="273">
        <f>IF(A163&lt;&gt;"",""&amp;DATA_KO!H160,"")</f>
        <v/>
      </c>
      <c r="G163" s="273">
        <f>IF(A163&lt;&gt;"",""&amp;DATA_KO!D160,"")</f>
        <v/>
      </c>
      <c r="H163" s="273">
        <f>IF(A163&lt;&gt;"",""&amp;DATA_KO!E160,"")</f>
        <v/>
      </c>
      <c r="I163" s="273">
        <f>IF(A163&lt;&gt;"",""&amp;DATA_KO!F160,"")</f>
        <v/>
      </c>
      <c r="J163" s="275">
        <f>IF(A163&lt;&gt;"","➔ Inspect Lineage","")</f>
        <v/>
      </c>
    </row>
    <row r="164">
      <c r="A164" s="273">
        <f>IF(DATA_KO!A161&lt;&gt;"",""&amp;DATA_KO!A161,"")</f>
        <v/>
      </c>
      <c r="B164" s="273">
        <f>IF(A164&lt;&gt;"","KO","")</f>
        <v/>
      </c>
      <c r="C164" s="273">
        <f>IF(A164&lt;&gt;"",""&amp;DATA_KO!B161,"")</f>
        <v/>
      </c>
      <c r="D164" s="273">
        <f>IF(A164&lt;&gt;"",""&amp;DATA_KO!C161,"")</f>
        <v/>
      </c>
      <c r="E164" s="274">
        <f>IF(A164&lt;&gt;"",DATA_KO!G161,"")</f>
        <v/>
      </c>
      <c r="F164" s="273">
        <f>IF(A164&lt;&gt;"",""&amp;DATA_KO!H161,"")</f>
        <v/>
      </c>
      <c r="G164" s="273">
        <f>IF(A164&lt;&gt;"",""&amp;DATA_KO!D161,"")</f>
        <v/>
      </c>
      <c r="H164" s="273">
        <f>IF(A164&lt;&gt;"",""&amp;DATA_KO!E161,"")</f>
        <v/>
      </c>
      <c r="I164" s="273">
        <f>IF(A164&lt;&gt;"",""&amp;DATA_KO!F161,"")</f>
        <v/>
      </c>
      <c r="J164" s="275">
        <f>IF(A164&lt;&gt;"","➔ Inspect Lineage","")</f>
        <v/>
      </c>
    </row>
    <row r="165">
      <c r="A165" s="273">
        <f>IF(DATA_KO!A162&lt;&gt;"",""&amp;DATA_KO!A162,"")</f>
        <v/>
      </c>
      <c r="B165" s="273">
        <f>IF(A165&lt;&gt;"","KO","")</f>
        <v/>
      </c>
      <c r="C165" s="273">
        <f>IF(A165&lt;&gt;"",""&amp;DATA_KO!B162,"")</f>
        <v/>
      </c>
      <c r="D165" s="273">
        <f>IF(A165&lt;&gt;"",""&amp;DATA_KO!C162,"")</f>
        <v/>
      </c>
      <c r="E165" s="274">
        <f>IF(A165&lt;&gt;"",DATA_KO!G162,"")</f>
        <v/>
      </c>
      <c r="F165" s="273">
        <f>IF(A165&lt;&gt;"",""&amp;DATA_KO!H162,"")</f>
        <v/>
      </c>
      <c r="G165" s="273">
        <f>IF(A165&lt;&gt;"",""&amp;DATA_KO!D162,"")</f>
        <v/>
      </c>
      <c r="H165" s="273">
        <f>IF(A165&lt;&gt;"",""&amp;DATA_KO!E162,"")</f>
        <v/>
      </c>
      <c r="I165" s="273">
        <f>IF(A165&lt;&gt;"",""&amp;DATA_KO!F162,"")</f>
        <v/>
      </c>
      <c r="J165" s="275">
        <f>IF(A165&lt;&gt;"","➔ Inspect Lineage","")</f>
        <v/>
      </c>
    </row>
    <row r="166">
      <c r="A166" s="273">
        <f>IF(DATA_KO!A163&lt;&gt;"",""&amp;DATA_KO!A163,"")</f>
        <v/>
      </c>
      <c r="B166" s="273">
        <f>IF(A166&lt;&gt;"","KO","")</f>
        <v/>
      </c>
      <c r="C166" s="273">
        <f>IF(A166&lt;&gt;"",""&amp;DATA_KO!B163,"")</f>
        <v/>
      </c>
      <c r="D166" s="273">
        <f>IF(A166&lt;&gt;"",""&amp;DATA_KO!C163,"")</f>
        <v/>
      </c>
      <c r="E166" s="274">
        <f>IF(A166&lt;&gt;"",DATA_KO!G163,"")</f>
        <v/>
      </c>
      <c r="F166" s="273">
        <f>IF(A166&lt;&gt;"",""&amp;DATA_KO!H163,"")</f>
        <v/>
      </c>
      <c r="G166" s="273">
        <f>IF(A166&lt;&gt;"",""&amp;DATA_KO!D163,"")</f>
        <v/>
      </c>
      <c r="H166" s="273">
        <f>IF(A166&lt;&gt;"",""&amp;DATA_KO!E163,"")</f>
        <v/>
      </c>
      <c r="I166" s="273">
        <f>IF(A166&lt;&gt;"",""&amp;DATA_KO!F163,"")</f>
        <v/>
      </c>
      <c r="J166" s="275">
        <f>IF(A166&lt;&gt;"","➔ Inspect Lineage","")</f>
        <v/>
      </c>
    </row>
    <row r="167">
      <c r="A167" s="273">
        <f>IF(DATA_KO!A164&lt;&gt;"",""&amp;DATA_KO!A164,"")</f>
        <v/>
      </c>
      <c r="B167" s="273">
        <f>IF(A167&lt;&gt;"","KO","")</f>
        <v/>
      </c>
      <c r="C167" s="273">
        <f>IF(A167&lt;&gt;"",""&amp;DATA_KO!B164,"")</f>
        <v/>
      </c>
      <c r="D167" s="273">
        <f>IF(A167&lt;&gt;"",""&amp;DATA_KO!C164,"")</f>
        <v/>
      </c>
      <c r="E167" s="274">
        <f>IF(A167&lt;&gt;"",DATA_KO!G164,"")</f>
        <v/>
      </c>
      <c r="F167" s="273">
        <f>IF(A167&lt;&gt;"",""&amp;DATA_KO!H164,"")</f>
        <v/>
      </c>
      <c r="G167" s="273">
        <f>IF(A167&lt;&gt;"",""&amp;DATA_KO!D164,"")</f>
        <v/>
      </c>
      <c r="H167" s="273">
        <f>IF(A167&lt;&gt;"",""&amp;DATA_KO!E164,"")</f>
        <v/>
      </c>
      <c r="I167" s="273">
        <f>IF(A167&lt;&gt;"",""&amp;DATA_KO!F164,"")</f>
        <v/>
      </c>
      <c r="J167" s="275">
        <f>IF(A167&lt;&gt;"","➔ Inspect Lineage","")</f>
        <v/>
      </c>
    </row>
    <row r="168">
      <c r="A168" s="273">
        <f>IF(DATA_KO!A165&lt;&gt;"",""&amp;DATA_KO!A165,"")</f>
        <v/>
      </c>
      <c r="B168" s="273">
        <f>IF(A168&lt;&gt;"","KO","")</f>
        <v/>
      </c>
      <c r="C168" s="273">
        <f>IF(A168&lt;&gt;"",""&amp;DATA_KO!B165,"")</f>
        <v/>
      </c>
      <c r="D168" s="273">
        <f>IF(A168&lt;&gt;"",""&amp;DATA_KO!C165,"")</f>
        <v/>
      </c>
      <c r="E168" s="274">
        <f>IF(A168&lt;&gt;"",DATA_KO!G165,"")</f>
        <v/>
      </c>
      <c r="F168" s="273">
        <f>IF(A168&lt;&gt;"",""&amp;DATA_KO!H165,"")</f>
        <v/>
      </c>
      <c r="G168" s="273">
        <f>IF(A168&lt;&gt;"",""&amp;DATA_KO!D165,"")</f>
        <v/>
      </c>
      <c r="H168" s="273">
        <f>IF(A168&lt;&gt;"",""&amp;DATA_KO!E165,"")</f>
        <v/>
      </c>
      <c r="I168" s="273">
        <f>IF(A168&lt;&gt;"",""&amp;DATA_KO!F165,"")</f>
        <v/>
      </c>
      <c r="J168" s="275">
        <f>IF(A168&lt;&gt;"","➔ Inspect Lineage","")</f>
        <v/>
      </c>
    </row>
    <row r="169">
      <c r="A169" s="273">
        <f>IF(DATA_KO!A166&lt;&gt;"",""&amp;DATA_KO!A166,"")</f>
        <v/>
      </c>
      <c r="B169" s="273">
        <f>IF(A169&lt;&gt;"","KO","")</f>
        <v/>
      </c>
      <c r="C169" s="273">
        <f>IF(A169&lt;&gt;"",""&amp;DATA_KO!B166,"")</f>
        <v/>
      </c>
      <c r="D169" s="273">
        <f>IF(A169&lt;&gt;"",""&amp;DATA_KO!C166,"")</f>
        <v/>
      </c>
      <c r="E169" s="274">
        <f>IF(A169&lt;&gt;"",DATA_KO!G166,"")</f>
        <v/>
      </c>
      <c r="F169" s="273">
        <f>IF(A169&lt;&gt;"",""&amp;DATA_KO!H166,"")</f>
        <v/>
      </c>
      <c r="G169" s="273">
        <f>IF(A169&lt;&gt;"",""&amp;DATA_KO!D166,"")</f>
        <v/>
      </c>
      <c r="H169" s="273">
        <f>IF(A169&lt;&gt;"",""&amp;DATA_KO!E166,"")</f>
        <v/>
      </c>
      <c r="I169" s="273">
        <f>IF(A169&lt;&gt;"",""&amp;DATA_KO!F166,"")</f>
        <v/>
      </c>
      <c r="J169" s="275">
        <f>IF(A169&lt;&gt;"","➔ Inspect Lineage","")</f>
        <v/>
      </c>
    </row>
    <row r="170">
      <c r="A170" s="273">
        <f>IF(DATA_KO!A167&lt;&gt;"",""&amp;DATA_KO!A167,"")</f>
        <v/>
      </c>
      <c r="B170" s="273">
        <f>IF(A170&lt;&gt;"","KO","")</f>
        <v/>
      </c>
      <c r="C170" s="273">
        <f>IF(A170&lt;&gt;"",""&amp;DATA_KO!B167,"")</f>
        <v/>
      </c>
      <c r="D170" s="273">
        <f>IF(A170&lt;&gt;"",""&amp;DATA_KO!C167,"")</f>
        <v/>
      </c>
      <c r="E170" s="274">
        <f>IF(A170&lt;&gt;"",DATA_KO!G167,"")</f>
        <v/>
      </c>
      <c r="F170" s="273">
        <f>IF(A170&lt;&gt;"",""&amp;DATA_KO!H167,"")</f>
        <v/>
      </c>
      <c r="G170" s="273">
        <f>IF(A170&lt;&gt;"",""&amp;DATA_KO!D167,"")</f>
        <v/>
      </c>
      <c r="H170" s="273">
        <f>IF(A170&lt;&gt;"",""&amp;DATA_KO!E167,"")</f>
        <v/>
      </c>
      <c r="I170" s="273">
        <f>IF(A170&lt;&gt;"",""&amp;DATA_KO!F167,"")</f>
        <v/>
      </c>
      <c r="J170" s="275">
        <f>IF(A170&lt;&gt;"","➔ Inspect Lineage","")</f>
        <v/>
      </c>
    </row>
    <row r="171">
      <c r="A171" s="273">
        <f>IF(DATA_KO!A168&lt;&gt;"",""&amp;DATA_KO!A168,"")</f>
        <v/>
      </c>
      <c r="B171" s="273">
        <f>IF(A171&lt;&gt;"","KO","")</f>
        <v/>
      </c>
      <c r="C171" s="273">
        <f>IF(A171&lt;&gt;"",""&amp;DATA_KO!B168,"")</f>
        <v/>
      </c>
      <c r="D171" s="273">
        <f>IF(A171&lt;&gt;"",""&amp;DATA_KO!C168,"")</f>
        <v/>
      </c>
      <c r="E171" s="274">
        <f>IF(A171&lt;&gt;"",DATA_KO!G168,"")</f>
        <v/>
      </c>
      <c r="F171" s="273">
        <f>IF(A171&lt;&gt;"",""&amp;DATA_KO!H168,"")</f>
        <v/>
      </c>
      <c r="G171" s="273">
        <f>IF(A171&lt;&gt;"",""&amp;DATA_KO!D168,"")</f>
        <v/>
      </c>
      <c r="H171" s="273">
        <f>IF(A171&lt;&gt;"",""&amp;DATA_KO!E168,"")</f>
        <v/>
      </c>
      <c r="I171" s="273">
        <f>IF(A171&lt;&gt;"",""&amp;DATA_KO!F168,"")</f>
        <v/>
      </c>
      <c r="J171" s="275">
        <f>IF(A171&lt;&gt;"","➔ Inspect Lineage","")</f>
        <v/>
      </c>
    </row>
    <row r="172">
      <c r="A172" s="273">
        <f>IF(DATA_KO!A169&lt;&gt;"",""&amp;DATA_KO!A169,"")</f>
        <v/>
      </c>
      <c r="B172" s="273">
        <f>IF(A172&lt;&gt;"","KO","")</f>
        <v/>
      </c>
      <c r="C172" s="273">
        <f>IF(A172&lt;&gt;"",""&amp;DATA_KO!B169,"")</f>
        <v/>
      </c>
      <c r="D172" s="273">
        <f>IF(A172&lt;&gt;"",""&amp;DATA_KO!C169,"")</f>
        <v/>
      </c>
      <c r="E172" s="274">
        <f>IF(A172&lt;&gt;"",DATA_KO!G169,"")</f>
        <v/>
      </c>
      <c r="F172" s="273">
        <f>IF(A172&lt;&gt;"",""&amp;DATA_KO!H169,"")</f>
        <v/>
      </c>
      <c r="G172" s="273">
        <f>IF(A172&lt;&gt;"",""&amp;DATA_KO!D169,"")</f>
        <v/>
      </c>
      <c r="H172" s="273">
        <f>IF(A172&lt;&gt;"",""&amp;DATA_KO!E169,"")</f>
        <v/>
      </c>
      <c r="I172" s="273">
        <f>IF(A172&lt;&gt;"",""&amp;DATA_KO!F169,"")</f>
        <v/>
      </c>
      <c r="J172" s="275">
        <f>IF(A172&lt;&gt;"","➔ Inspect Lineage","")</f>
        <v/>
      </c>
    </row>
    <row r="173">
      <c r="A173" s="273">
        <f>IF(DATA_KO!A170&lt;&gt;"",""&amp;DATA_KO!A170,"")</f>
        <v/>
      </c>
      <c r="B173" s="273">
        <f>IF(A173&lt;&gt;"","KO","")</f>
        <v/>
      </c>
      <c r="C173" s="273">
        <f>IF(A173&lt;&gt;"",""&amp;DATA_KO!B170,"")</f>
        <v/>
      </c>
      <c r="D173" s="273">
        <f>IF(A173&lt;&gt;"",""&amp;DATA_KO!C170,"")</f>
        <v/>
      </c>
      <c r="E173" s="274">
        <f>IF(A173&lt;&gt;"",DATA_KO!G170,"")</f>
        <v/>
      </c>
      <c r="F173" s="273">
        <f>IF(A173&lt;&gt;"",""&amp;DATA_KO!H170,"")</f>
        <v/>
      </c>
      <c r="G173" s="273">
        <f>IF(A173&lt;&gt;"",""&amp;DATA_KO!D170,"")</f>
        <v/>
      </c>
      <c r="H173" s="273">
        <f>IF(A173&lt;&gt;"",""&amp;DATA_KO!E170,"")</f>
        <v/>
      </c>
      <c r="I173" s="273">
        <f>IF(A173&lt;&gt;"",""&amp;DATA_KO!F170,"")</f>
        <v/>
      </c>
      <c r="J173" s="275">
        <f>IF(A173&lt;&gt;"","➔ Inspect Lineage","")</f>
        <v/>
      </c>
    </row>
    <row r="174">
      <c r="A174" s="273">
        <f>IF(DATA_KO!A171&lt;&gt;"",""&amp;DATA_KO!A171,"")</f>
        <v/>
      </c>
      <c r="B174" s="273">
        <f>IF(A174&lt;&gt;"","KO","")</f>
        <v/>
      </c>
      <c r="C174" s="273">
        <f>IF(A174&lt;&gt;"",""&amp;DATA_KO!B171,"")</f>
        <v/>
      </c>
      <c r="D174" s="273">
        <f>IF(A174&lt;&gt;"",""&amp;DATA_KO!C171,"")</f>
        <v/>
      </c>
      <c r="E174" s="274">
        <f>IF(A174&lt;&gt;"",DATA_KO!G171,"")</f>
        <v/>
      </c>
      <c r="F174" s="273">
        <f>IF(A174&lt;&gt;"",""&amp;DATA_KO!H171,"")</f>
        <v/>
      </c>
      <c r="G174" s="273">
        <f>IF(A174&lt;&gt;"",""&amp;DATA_KO!D171,"")</f>
        <v/>
      </c>
      <c r="H174" s="273">
        <f>IF(A174&lt;&gt;"",""&amp;DATA_KO!E171,"")</f>
        <v/>
      </c>
      <c r="I174" s="273">
        <f>IF(A174&lt;&gt;"",""&amp;DATA_KO!F171,"")</f>
        <v/>
      </c>
      <c r="J174" s="275">
        <f>IF(A174&lt;&gt;"","➔ Inspect Lineage","")</f>
        <v/>
      </c>
    </row>
    <row r="175">
      <c r="A175" s="273">
        <f>IF(DATA_KO!A172&lt;&gt;"",""&amp;DATA_KO!A172,"")</f>
        <v/>
      </c>
      <c r="B175" s="273">
        <f>IF(A175&lt;&gt;"","KO","")</f>
        <v/>
      </c>
      <c r="C175" s="273">
        <f>IF(A175&lt;&gt;"",""&amp;DATA_KO!B172,"")</f>
        <v/>
      </c>
      <c r="D175" s="273">
        <f>IF(A175&lt;&gt;"",""&amp;DATA_KO!C172,"")</f>
        <v/>
      </c>
      <c r="E175" s="274">
        <f>IF(A175&lt;&gt;"",DATA_KO!G172,"")</f>
        <v/>
      </c>
      <c r="F175" s="273">
        <f>IF(A175&lt;&gt;"",""&amp;DATA_KO!H172,"")</f>
        <v/>
      </c>
      <c r="G175" s="273">
        <f>IF(A175&lt;&gt;"",""&amp;DATA_KO!D172,"")</f>
        <v/>
      </c>
      <c r="H175" s="273">
        <f>IF(A175&lt;&gt;"",""&amp;DATA_KO!E172,"")</f>
        <v/>
      </c>
      <c r="I175" s="273">
        <f>IF(A175&lt;&gt;"",""&amp;DATA_KO!F172,"")</f>
        <v/>
      </c>
      <c r="J175" s="275">
        <f>IF(A175&lt;&gt;"","➔ Inspect Lineage","")</f>
        <v/>
      </c>
    </row>
    <row r="176">
      <c r="A176" s="273">
        <f>IF(DATA_KO!A173&lt;&gt;"",""&amp;DATA_KO!A173,"")</f>
        <v/>
      </c>
      <c r="B176" s="273">
        <f>IF(A176&lt;&gt;"","KO","")</f>
        <v/>
      </c>
      <c r="C176" s="273">
        <f>IF(A176&lt;&gt;"",""&amp;DATA_KO!B173,"")</f>
        <v/>
      </c>
      <c r="D176" s="273">
        <f>IF(A176&lt;&gt;"",""&amp;DATA_KO!C173,"")</f>
        <v/>
      </c>
      <c r="E176" s="274">
        <f>IF(A176&lt;&gt;"",DATA_KO!G173,"")</f>
        <v/>
      </c>
      <c r="F176" s="273">
        <f>IF(A176&lt;&gt;"",""&amp;DATA_KO!H173,"")</f>
        <v/>
      </c>
      <c r="G176" s="273">
        <f>IF(A176&lt;&gt;"",""&amp;DATA_KO!D173,"")</f>
        <v/>
      </c>
      <c r="H176" s="273">
        <f>IF(A176&lt;&gt;"",""&amp;DATA_KO!E173,"")</f>
        <v/>
      </c>
      <c r="I176" s="273">
        <f>IF(A176&lt;&gt;"",""&amp;DATA_KO!F173,"")</f>
        <v/>
      </c>
      <c r="J176" s="275">
        <f>IF(A176&lt;&gt;"","➔ Inspect Lineage","")</f>
        <v/>
      </c>
    </row>
    <row r="177">
      <c r="A177" s="273">
        <f>IF(DATA_KO!A174&lt;&gt;"",""&amp;DATA_KO!A174,"")</f>
        <v/>
      </c>
      <c r="B177" s="273">
        <f>IF(A177&lt;&gt;"","KO","")</f>
        <v/>
      </c>
      <c r="C177" s="273">
        <f>IF(A177&lt;&gt;"",""&amp;DATA_KO!B174,"")</f>
        <v/>
      </c>
      <c r="D177" s="273">
        <f>IF(A177&lt;&gt;"",""&amp;DATA_KO!C174,"")</f>
        <v/>
      </c>
      <c r="E177" s="274">
        <f>IF(A177&lt;&gt;"",DATA_KO!G174,"")</f>
        <v/>
      </c>
      <c r="F177" s="273">
        <f>IF(A177&lt;&gt;"",""&amp;DATA_KO!H174,"")</f>
        <v/>
      </c>
      <c r="G177" s="273">
        <f>IF(A177&lt;&gt;"",""&amp;DATA_KO!D174,"")</f>
        <v/>
      </c>
      <c r="H177" s="273">
        <f>IF(A177&lt;&gt;"",""&amp;DATA_KO!E174,"")</f>
        <v/>
      </c>
      <c r="I177" s="273">
        <f>IF(A177&lt;&gt;"",""&amp;DATA_KO!F174,"")</f>
        <v/>
      </c>
      <c r="J177" s="275">
        <f>IF(A177&lt;&gt;"","➔ Inspect Lineage","")</f>
        <v/>
      </c>
    </row>
    <row r="178">
      <c r="A178" s="273">
        <f>IF(DATA_KO!A175&lt;&gt;"",""&amp;DATA_KO!A175,"")</f>
        <v/>
      </c>
      <c r="B178" s="273">
        <f>IF(A178&lt;&gt;"","KO","")</f>
        <v/>
      </c>
      <c r="C178" s="273">
        <f>IF(A178&lt;&gt;"",""&amp;DATA_KO!B175,"")</f>
        <v/>
      </c>
      <c r="D178" s="273">
        <f>IF(A178&lt;&gt;"",""&amp;DATA_KO!C175,"")</f>
        <v/>
      </c>
      <c r="E178" s="274">
        <f>IF(A178&lt;&gt;"",DATA_KO!G175,"")</f>
        <v/>
      </c>
      <c r="F178" s="273">
        <f>IF(A178&lt;&gt;"",""&amp;DATA_KO!H175,"")</f>
        <v/>
      </c>
      <c r="G178" s="273">
        <f>IF(A178&lt;&gt;"",""&amp;DATA_KO!D175,"")</f>
        <v/>
      </c>
      <c r="H178" s="273">
        <f>IF(A178&lt;&gt;"",""&amp;DATA_KO!E175,"")</f>
        <v/>
      </c>
      <c r="I178" s="273">
        <f>IF(A178&lt;&gt;"",""&amp;DATA_KO!F175,"")</f>
        <v/>
      </c>
      <c r="J178" s="275">
        <f>IF(A178&lt;&gt;"","➔ Inspect Lineage","")</f>
        <v/>
      </c>
    </row>
    <row r="179">
      <c r="A179" s="273">
        <f>IF(DATA_KO!A176&lt;&gt;"",""&amp;DATA_KO!A176,"")</f>
        <v/>
      </c>
      <c r="B179" s="273">
        <f>IF(A179&lt;&gt;"","KO","")</f>
        <v/>
      </c>
      <c r="C179" s="273">
        <f>IF(A179&lt;&gt;"",""&amp;DATA_KO!B176,"")</f>
        <v/>
      </c>
      <c r="D179" s="273">
        <f>IF(A179&lt;&gt;"",""&amp;DATA_KO!C176,"")</f>
        <v/>
      </c>
      <c r="E179" s="274">
        <f>IF(A179&lt;&gt;"",DATA_KO!G176,"")</f>
        <v/>
      </c>
      <c r="F179" s="273">
        <f>IF(A179&lt;&gt;"",""&amp;DATA_KO!H176,"")</f>
        <v/>
      </c>
      <c r="G179" s="273">
        <f>IF(A179&lt;&gt;"",""&amp;DATA_KO!D176,"")</f>
        <v/>
      </c>
      <c r="H179" s="273">
        <f>IF(A179&lt;&gt;"",""&amp;DATA_KO!E176,"")</f>
        <v/>
      </c>
      <c r="I179" s="273">
        <f>IF(A179&lt;&gt;"",""&amp;DATA_KO!F176,"")</f>
        <v/>
      </c>
      <c r="J179" s="275">
        <f>IF(A179&lt;&gt;"","➔ Inspect Lineage","")</f>
        <v/>
      </c>
    </row>
    <row r="180">
      <c r="A180" s="273">
        <f>IF(DATA_KO!A177&lt;&gt;"",""&amp;DATA_KO!A177,"")</f>
        <v/>
      </c>
      <c r="B180" s="273">
        <f>IF(A180&lt;&gt;"","KO","")</f>
        <v/>
      </c>
      <c r="C180" s="273">
        <f>IF(A180&lt;&gt;"",""&amp;DATA_KO!B177,"")</f>
        <v/>
      </c>
      <c r="D180" s="273">
        <f>IF(A180&lt;&gt;"",""&amp;DATA_KO!C177,"")</f>
        <v/>
      </c>
      <c r="E180" s="274">
        <f>IF(A180&lt;&gt;"",DATA_KO!G177,"")</f>
        <v/>
      </c>
      <c r="F180" s="273">
        <f>IF(A180&lt;&gt;"",""&amp;DATA_KO!H177,"")</f>
        <v/>
      </c>
      <c r="G180" s="273">
        <f>IF(A180&lt;&gt;"",""&amp;DATA_KO!D177,"")</f>
        <v/>
      </c>
      <c r="H180" s="273">
        <f>IF(A180&lt;&gt;"",""&amp;DATA_KO!E177,"")</f>
        <v/>
      </c>
      <c r="I180" s="273">
        <f>IF(A180&lt;&gt;"",""&amp;DATA_KO!F177,"")</f>
        <v/>
      </c>
      <c r="J180" s="275">
        <f>IF(A180&lt;&gt;"","➔ Inspect Lineage","")</f>
        <v/>
      </c>
    </row>
    <row r="181">
      <c r="A181" s="273">
        <f>IF(DATA_KO!A178&lt;&gt;"",""&amp;DATA_KO!A178,"")</f>
        <v/>
      </c>
      <c r="B181" s="273">
        <f>IF(A181&lt;&gt;"","KO","")</f>
        <v/>
      </c>
      <c r="C181" s="273">
        <f>IF(A181&lt;&gt;"",""&amp;DATA_KO!B178,"")</f>
        <v/>
      </c>
      <c r="D181" s="273">
        <f>IF(A181&lt;&gt;"",""&amp;DATA_KO!C178,"")</f>
        <v/>
      </c>
      <c r="E181" s="274">
        <f>IF(A181&lt;&gt;"",DATA_KO!G178,"")</f>
        <v/>
      </c>
      <c r="F181" s="273">
        <f>IF(A181&lt;&gt;"",""&amp;DATA_KO!H178,"")</f>
        <v/>
      </c>
      <c r="G181" s="273">
        <f>IF(A181&lt;&gt;"",""&amp;DATA_KO!D178,"")</f>
        <v/>
      </c>
      <c r="H181" s="273">
        <f>IF(A181&lt;&gt;"",""&amp;DATA_KO!E178,"")</f>
        <v/>
      </c>
      <c r="I181" s="273">
        <f>IF(A181&lt;&gt;"",""&amp;DATA_KO!F178,"")</f>
        <v/>
      </c>
      <c r="J181" s="275">
        <f>IF(A181&lt;&gt;"","➔ Inspect Lineage","")</f>
        <v/>
      </c>
    </row>
    <row r="182">
      <c r="A182" s="273">
        <f>IF(DATA_KO!A179&lt;&gt;"",""&amp;DATA_KO!A179,"")</f>
        <v/>
      </c>
      <c r="B182" s="273">
        <f>IF(A182&lt;&gt;"","KO","")</f>
        <v/>
      </c>
      <c r="C182" s="273">
        <f>IF(A182&lt;&gt;"",""&amp;DATA_KO!B179,"")</f>
        <v/>
      </c>
      <c r="D182" s="273">
        <f>IF(A182&lt;&gt;"",""&amp;DATA_KO!C179,"")</f>
        <v/>
      </c>
      <c r="E182" s="274">
        <f>IF(A182&lt;&gt;"",DATA_KO!G179,"")</f>
        <v/>
      </c>
      <c r="F182" s="273">
        <f>IF(A182&lt;&gt;"",""&amp;DATA_KO!H179,"")</f>
        <v/>
      </c>
      <c r="G182" s="273">
        <f>IF(A182&lt;&gt;"",""&amp;DATA_KO!D179,"")</f>
        <v/>
      </c>
      <c r="H182" s="273">
        <f>IF(A182&lt;&gt;"",""&amp;DATA_KO!E179,"")</f>
        <v/>
      </c>
      <c r="I182" s="273">
        <f>IF(A182&lt;&gt;"",""&amp;DATA_KO!F179,"")</f>
        <v/>
      </c>
      <c r="J182" s="275">
        <f>IF(A182&lt;&gt;"","➔ Inspect Lineage","")</f>
        <v/>
      </c>
    </row>
    <row r="183">
      <c r="A183" s="273">
        <f>IF(DATA_KO!A180&lt;&gt;"",""&amp;DATA_KO!A180,"")</f>
        <v/>
      </c>
      <c r="B183" s="273">
        <f>IF(A183&lt;&gt;"","KO","")</f>
        <v/>
      </c>
      <c r="C183" s="273">
        <f>IF(A183&lt;&gt;"",""&amp;DATA_KO!B180,"")</f>
        <v/>
      </c>
      <c r="D183" s="273">
        <f>IF(A183&lt;&gt;"",""&amp;DATA_KO!C180,"")</f>
        <v/>
      </c>
      <c r="E183" s="274">
        <f>IF(A183&lt;&gt;"",DATA_KO!G180,"")</f>
        <v/>
      </c>
      <c r="F183" s="273">
        <f>IF(A183&lt;&gt;"",""&amp;DATA_KO!H180,"")</f>
        <v/>
      </c>
      <c r="G183" s="273">
        <f>IF(A183&lt;&gt;"",""&amp;DATA_KO!D180,"")</f>
        <v/>
      </c>
      <c r="H183" s="273">
        <f>IF(A183&lt;&gt;"",""&amp;DATA_KO!E180,"")</f>
        <v/>
      </c>
      <c r="I183" s="273">
        <f>IF(A183&lt;&gt;"",""&amp;DATA_KO!F180,"")</f>
        <v/>
      </c>
      <c r="J183" s="275">
        <f>IF(A183&lt;&gt;"","➔ Inspect Lineage","")</f>
        <v/>
      </c>
    </row>
    <row r="184">
      <c r="A184" s="273">
        <f>IF(DATA_KO!A181&lt;&gt;"",""&amp;DATA_KO!A181,"")</f>
        <v/>
      </c>
      <c r="B184" s="273">
        <f>IF(A184&lt;&gt;"","KO","")</f>
        <v/>
      </c>
      <c r="C184" s="273">
        <f>IF(A184&lt;&gt;"",""&amp;DATA_KO!B181,"")</f>
        <v/>
      </c>
      <c r="D184" s="273">
        <f>IF(A184&lt;&gt;"",""&amp;DATA_KO!C181,"")</f>
        <v/>
      </c>
      <c r="E184" s="274">
        <f>IF(A184&lt;&gt;"",DATA_KO!G181,"")</f>
        <v/>
      </c>
      <c r="F184" s="273">
        <f>IF(A184&lt;&gt;"",""&amp;DATA_KO!H181,"")</f>
        <v/>
      </c>
      <c r="G184" s="273">
        <f>IF(A184&lt;&gt;"",""&amp;DATA_KO!D181,"")</f>
        <v/>
      </c>
      <c r="H184" s="273">
        <f>IF(A184&lt;&gt;"",""&amp;DATA_KO!E181,"")</f>
        <v/>
      </c>
      <c r="I184" s="273">
        <f>IF(A184&lt;&gt;"",""&amp;DATA_KO!F181,"")</f>
        <v/>
      </c>
      <c r="J184" s="275">
        <f>IF(A184&lt;&gt;"","➔ Inspect Lineage","")</f>
        <v/>
      </c>
    </row>
    <row r="185">
      <c r="A185" s="273">
        <f>IF(DATA_KO!A182&lt;&gt;"",""&amp;DATA_KO!A182,"")</f>
        <v/>
      </c>
      <c r="B185" s="273">
        <f>IF(A185&lt;&gt;"","KO","")</f>
        <v/>
      </c>
      <c r="C185" s="273">
        <f>IF(A185&lt;&gt;"",""&amp;DATA_KO!B182,"")</f>
        <v/>
      </c>
      <c r="D185" s="273">
        <f>IF(A185&lt;&gt;"",""&amp;DATA_KO!C182,"")</f>
        <v/>
      </c>
      <c r="E185" s="274">
        <f>IF(A185&lt;&gt;"",DATA_KO!G182,"")</f>
        <v/>
      </c>
      <c r="F185" s="273">
        <f>IF(A185&lt;&gt;"",""&amp;DATA_KO!H182,"")</f>
        <v/>
      </c>
      <c r="G185" s="273">
        <f>IF(A185&lt;&gt;"",""&amp;DATA_KO!D182,"")</f>
        <v/>
      </c>
      <c r="H185" s="273">
        <f>IF(A185&lt;&gt;"",""&amp;DATA_KO!E182,"")</f>
        <v/>
      </c>
      <c r="I185" s="273">
        <f>IF(A185&lt;&gt;"",""&amp;DATA_KO!F182,"")</f>
        <v/>
      </c>
      <c r="J185" s="275">
        <f>IF(A185&lt;&gt;"","➔ Inspect Lineage","")</f>
        <v/>
      </c>
    </row>
    <row r="186">
      <c r="A186" s="273">
        <f>IF(DATA_KO!A183&lt;&gt;"",""&amp;DATA_KO!A183,"")</f>
        <v/>
      </c>
      <c r="B186" s="273">
        <f>IF(A186&lt;&gt;"","KO","")</f>
        <v/>
      </c>
      <c r="C186" s="273">
        <f>IF(A186&lt;&gt;"",""&amp;DATA_KO!B183,"")</f>
        <v/>
      </c>
      <c r="D186" s="273">
        <f>IF(A186&lt;&gt;"",""&amp;DATA_KO!C183,"")</f>
        <v/>
      </c>
      <c r="E186" s="274">
        <f>IF(A186&lt;&gt;"",DATA_KO!G183,"")</f>
        <v/>
      </c>
      <c r="F186" s="273">
        <f>IF(A186&lt;&gt;"",""&amp;DATA_KO!H183,"")</f>
        <v/>
      </c>
      <c r="G186" s="273">
        <f>IF(A186&lt;&gt;"",""&amp;DATA_KO!D183,"")</f>
        <v/>
      </c>
      <c r="H186" s="273">
        <f>IF(A186&lt;&gt;"",""&amp;DATA_KO!E183,"")</f>
        <v/>
      </c>
      <c r="I186" s="273">
        <f>IF(A186&lt;&gt;"",""&amp;DATA_KO!F183,"")</f>
        <v/>
      </c>
      <c r="J186" s="275">
        <f>IF(A186&lt;&gt;"","➔ Inspect Lineage","")</f>
        <v/>
      </c>
    </row>
    <row r="187">
      <c r="A187" s="273">
        <f>IF(DATA_KO!A184&lt;&gt;"",""&amp;DATA_KO!A184,"")</f>
        <v/>
      </c>
      <c r="B187" s="273">
        <f>IF(A187&lt;&gt;"","KO","")</f>
        <v/>
      </c>
      <c r="C187" s="273">
        <f>IF(A187&lt;&gt;"",""&amp;DATA_KO!B184,"")</f>
        <v/>
      </c>
      <c r="D187" s="273">
        <f>IF(A187&lt;&gt;"",""&amp;DATA_KO!C184,"")</f>
        <v/>
      </c>
      <c r="E187" s="274">
        <f>IF(A187&lt;&gt;"",DATA_KO!G184,"")</f>
        <v/>
      </c>
      <c r="F187" s="273">
        <f>IF(A187&lt;&gt;"",""&amp;DATA_KO!H184,"")</f>
        <v/>
      </c>
      <c r="G187" s="273">
        <f>IF(A187&lt;&gt;"",""&amp;DATA_KO!D184,"")</f>
        <v/>
      </c>
      <c r="H187" s="273">
        <f>IF(A187&lt;&gt;"",""&amp;DATA_KO!E184,"")</f>
        <v/>
      </c>
      <c r="I187" s="273">
        <f>IF(A187&lt;&gt;"",""&amp;DATA_KO!F184,"")</f>
        <v/>
      </c>
      <c r="J187" s="275">
        <f>IF(A187&lt;&gt;"","➔ Inspect Lineage","")</f>
        <v/>
      </c>
    </row>
    <row r="188">
      <c r="A188" s="273">
        <f>IF(DATA_KO!A185&lt;&gt;"",""&amp;DATA_KO!A185,"")</f>
        <v/>
      </c>
      <c r="B188" s="273">
        <f>IF(A188&lt;&gt;"","KO","")</f>
        <v/>
      </c>
      <c r="C188" s="273">
        <f>IF(A188&lt;&gt;"",""&amp;DATA_KO!B185,"")</f>
        <v/>
      </c>
      <c r="D188" s="273">
        <f>IF(A188&lt;&gt;"",""&amp;DATA_KO!C185,"")</f>
        <v/>
      </c>
      <c r="E188" s="274">
        <f>IF(A188&lt;&gt;"",DATA_KO!G185,"")</f>
        <v/>
      </c>
      <c r="F188" s="273">
        <f>IF(A188&lt;&gt;"",""&amp;DATA_KO!H185,"")</f>
        <v/>
      </c>
      <c r="G188" s="273">
        <f>IF(A188&lt;&gt;"",""&amp;DATA_KO!D185,"")</f>
        <v/>
      </c>
      <c r="H188" s="273">
        <f>IF(A188&lt;&gt;"",""&amp;DATA_KO!E185,"")</f>
        <v/>
      </c>
      <c r="I188" s="273">
        <f>IF(A188&lt;&gt;"",""&amp;DATA_KO!F185,"")</f>
        <v/>
      </c>
      <c r="J188" s="275">
        <f>IF(A188&lt;&gt;"","➔ Inspect Lineage","")</f>
        <v/>
      </c>
    </row>
    <row r="189">
      <c r="A189" s="273">
        <f>IF(DATA_KO!A186&lt;&gt;"",""&amp;DATA_KO!A186,"")</f>
        <v/>
      </c>
      <c r="B189" s="273">
        <f>IF(A189&lt;&gt;"","KO","")</f>
        <v/>
      </c>
      <c r="C189" s="273">
        <f>IF(A189&lt;&gt;"",""&amp;DATA_KO!B186,"")</f>
        <v/>
      </c>
      <c r="D189" s="273">
        <f>IF(A189&lt;&gt;"",""&amp;DATA_KO!C186,"")</f>
        <v/>
      </c>
      <c r="E189" s="274">
        <f>IF(A189&lt;&gt;"",DATA_KO!G186,"")</f>
        <v/>
      </c>
      <c r="F189" s="273">
        <f>IF(A189&lt;&gt;"",""&amp;DATA_KO!H186,"")</f>
        <v/>
      </c>
      <c r="G189" s="273">
        <f>IF(A189&lt;&gt;"",""&amp;DATA_KO!D186,"")</f>
        <v/>
      </c>
      <c r="H189" s="273">
        <f>IF(A189&lt;&gt;"",""&amp;DATA_KO!E186,"")</f>
        <v/>
      </c>
      <c r="I189" s="273">
        <f>IF(A189&lt;&gt;"",""&amp;DATA_KO!F186,"")</f>
        <v/>
      </c>
      <c r="J189" s="275">
        <f>IF(A189&lt;&gt;"","➔ Inspect Lineage","")</f>
        <v/>
      </c>
    </row>
    <row r="190">
      <c r="A190" s="273">
        <f>IF(DATA_KO!A187&lt;&gt;"",""&amp;DATA_KO!A187,"")</f>
        <v/>
      </c>
      <c r="B190" s="273">
        <f>IF(A190&lt;&gt;"","KO","")</f>
        <v/>
      </c>
      <c r="C190" s="273">
        <f>IF(A190&lt;&gt;"",""&amp;DATA_KO!B187,"")</f>
        <v/>
      </c>
      <c r="D190" s="273">
        <f>IF(A190&lt;&gt;"",""&amp;DATA_KO!C187,"")</f>
        <v/>
      </c>
      <c r="E190" s="274">
        <f>IF(A190&lt;&gt;"",DATA_KO!G187,"")</f>
        <v/>
      </c>
      <c r="F190" s="273">
        <f>IF(A190&lt;&gt;"",""&amp;DATA_KO!H187,"")</f>
        <v/>
      </c>
      <c r="G190" s="273">
        <f>IF(A190&lt;&gt;"",""&amp;DATA_KO!D187,"")</f>
        <v/>
      </c>
      <c r="H190" s="273">
        <f>IF(A190&lt;&gt;"",""&amp;DATA_KO!E187,"")</f>
        <v/>
      </c>
      <c r="I190" s="273">
        <f>IF(A190&lt;&gt;"",""&amp;DATA_KO!F187,"")</f>
        <v/>
      </c>
      <c r="J190" s="275">
        <f>IF(A190&lt;&gt;"","➔ Inspect Lineage","")</f>
        <v/>
      </c>
    </row>
    <row r="191">
      <c r="A191" s="273">
        <f>IF(DATA_KO!A188&lt;&gt;"",""&amp;DATA_KO!A188,"")</f>
        <v/>
      </c>
      <c r="B191" s="273">
        <f>IF(A191&lt;&gt;"","KO","")</f>
        <v/>
      </c>
      <c r="C191" s="273">
        <f>IF(A191&lt;&gt;"",""&amp;DATA_KO!B188,"")</f>
        <v/>
      </c>
      <c r="D191" s="273">
        <f>IF(A191&lt;&gt;"",""&amp;DATA_KO!C188,"")</f>
        <v/>
      </c>
      <c r="E191" s="274">
        <f>IF(A191&lt;&gt;"",DATA_KO!G188,"")</f>
        <v/>
      </c>
      <c r="F191" s="273">
        <f>IF(A191&lt;&gt;"",""&amp;DATA_KO!H188,"")</f>
        <v/>
      </c>
      <c r="G191" s="273">
        <f>IF(A191&lt;&gt;"",""&amp;DATA_KO!D188,"")</f>
        <v/>
      </c>
      <c r="H191" s="273">
        <f>IF(A191&lt;&gt;"",""&amp;DATA_KO!E188,"")</f>
        <v/>
      </c>
      <c r="I191" s="273">
        <f>IF(A191&lt;&gt;"",""&amp;DATA_KO!F188,"")</f>
        <v/>
      </c>
      <c r="J191" s="275">
        <f>IF(A191&lt;&gt;"","➔ Inspect Lineage","")</f>
        <v/>
      </c>
    </row>
    <row r="192">
      <c r="A192" s="273">
        <f>IF(DATA_KO!A189&lt;&gt;"",""&amp;DATA_KO!A189,"")</f>
        <v/>
      </c>
      <c r="B192" s="273">
        <f>IF(A192&lt;&gt;"","KO","")</f>
        <v/>
      </c>
      <c r="C192" s="273">
        <f>IF(A192&lt;&gt;"",""&amp;DATA_KO!B189,"")</f>
        <v/>
      </c>
      <c r="D192" s="273">
        <f>IF(A192&lt;&gt;"",""&amp;DATA_KO!C189,"")</f>
        <v/>
      </c>
      <c r="E192" s="274">
        <f>IF(A192&lt;&gt;"",DATA_KO!G189,"")</f>
        <v/>
      </c>
      <c r="F192" s="273">
        <f>IF(A192&lt;&gt;"",""&amp;DATA_KO!H189,"")</f>
        <v/>
      </c>
      <c r="G192" s="273">
        <f>IF(A192&lt;&gt;"",""&amp;DATA_KO!D189,"")</f>
        <v/>
      </c>
      <c r="H192" s="273">
        <f>IF(A192&lt;&gt;"",""&amp;DATA_KO!E189,"")</f>
        <v/>
      </c>
      <c r="I192" s="273">
        <f>IF(A192&lt;&gt;"",""&amp;DATA_KO!F189,"")</f>
        <v/>
      </c>
      <c r="J192" s="275">
        <f>IF(A192&lt;&gt;"","➔ Inspect Lineage","")</f>
        <v/>
      </c>
    </row>
    <row r="193">
      <c r="A193" s="273">
        <f>IF(DATA_KO!A190&lt;&gt;"",""&amp;DATA_KO!A190,"")</f>
        <v/>
      </c>
      <c r="B193" s="273">
        <f>IF(A193&lt;&gt;"","KO","")</f>
        <v/>
      </c>
      <c r="C193" s="273">
        <f>IF(A193&lt;&gt;"",""&amp;DATA_KO!B190,"")</f>
        <v/>
      </c>
      <c r="D193" s="273">
        <f>IF(A193&lt;&gt;"",""&amp;DATA_KO!C190,"")</f>
        <v/>
      </c>
      <c r="E193" s="274">
        <f>IF(A193&lt;&gt;"",DATA_KO!G190,"")</f>
        <v/>
      </c>
      <c r="F193" s="273">
        <f>IF(A193&lt;&gt;"",""&amp;DATA_KO!H190,"")</f>
        <v/>
      </c>
      <c r="G193" s="273">
        <f>IF(A193&lt;&gt;"",""&amp;DATA_KO!D190,"")</f>
        <v/>
      </c>
      <c r="H193" s="273">
        <f>IF(A193&lt;&gt;"",""&amp;DATA_KO!E190,"")</f>
        <v/>
      </c>
      <c r="I193" s="273">
        <f>IF(A193&lt;&gt;"",""&amp;DATA_KO!F190,"")</f>
        <v/>
      </c>
      <c r="J193" s="275">
        <f>IF(A193&lt;&gt;"","➔ Inspect Lineage","")</f>
        <v/>
      </c>
    </row>
    <row r="194">
      <c r="A194" s="273">
        <f>IF(DATA_KO!A191&lt;&gt;"",""&amp;DATA_KO!A191,"")</f>
        <v/>
      </c>
      <c r="B194" s="273">
        <f>IF(A194&lt;&gt;"","KO","")</f>
        <v/>
      </c>
      <c r="C194" s="273">
        <f>IF(A194&lt;&gt;"",""&amp;DATA_KO!B191,"")</f>
        <v/>
      </c>
      <c r="D194" s="273">
        <f>IF(A194&lt;&gt;"",""&amp;DATA_KO!C191,"")</f>
        <v/>
      </c>
      <c r="E194" s="274">
        <f>IF(A194&lt;&gt;"",DATA_KO!G191,"")</f>
        <v/>
      </c>
      <c r="F194" s="273">
        <f>IF(A194&lt;&gt;"",""&amp;DATA_KO!H191,"")</f>
        <v/>
      </c>
      <c r="G194" s="273">
        <f>IF(A194&lt;&gt;"",""&amp;DATA_KO!D191,"")</f>
        <v/>
      </c>
      <c r="H194" s="273">
        <f>IF(A194&lt;&gt;"",""&amp;DATA_KO!E191,"")</f>
        <v/>
      </c>
      <c r="I194" s="273">
        <f>IF(A194&lt;&gt;"",""&amp;DATA_KO!F191,"")</f>
        <v/>
      </c>
      <c r="J194" s="275">
        <f>IF(A194&lt;&gt;"","➔ Inspect Lineage","")</f>
        <v/>
      </c>
    </row>
    <row r="195">
      <c r="A195" s="273">
        <f>IF(DATA_KO!A192&lt;&gt;"",""&amp;DATA_KO!A192,"")</f>
        <v/>
      </c>
      <c r="B195" s="273">
        <f>IF(A195&lt;&gt;"","KO","")</f>
        <v/>
      </c>
      <c r="C195" s="273">
        <f>IF(A195&lt;&gt;"",""&amp;DATA_KO!B192,"")</f>
        <v/>
      </c>
      <c r="D195" s="273">
        <f>IF(A195&lt;&gt;"",""&amp;DATA_KO!C192,"")</f>
        <v/>
      </c>
      <c r="E195" s="274">
        <f>IF(A195&lt;&gt;"",DATA_KO!G192,"")</f>
        <v/>
      </c>
      <c r="F195" s="273">
        <f>IF(A195&lt;&gt;"",""&amp;DATA_KO!H192,"")</f>
        <v/>
      </c>
      <c r="G195" s="273">
        <f>IF(A195&lt;&gt;"",""&amp;DATA_KO!D192,"")</f>
        <v/>
      </c>
      <c r="H195" s="273">
        <f>IF(A195&lt;&gt;"",""&amp;DATA_KO!E192,"")</f>
        <v/>
      </c>
      <c r="I195" s="273">
        <f>IF(A195&lt;&gt;"",""&amp;DATA_KO!F192,"")</f>
        <v/>
      </c>
      <c r="J195" s="275">
        <f>IF(A195&lt;&gt;"","➔ Inspect Lineage","")</f>
        <v/>
      </c>
    </row>
    <row r="196">
      <c r="A196" s="273">
        <f>IF(DATA_KO!A193&lt;&gt;"",""&amp;DATA_KO!A193,"")</f>
        <v/>
      </c>
      <c r="B196" s="273">
        <f>IF(A196&lt;&gt;"","KO","")</f>
        <v/>
      </c>
      <c r="C196" s="273">
        <f>IF(A196&lt;&gt;"",""&amp;DATA_KO!B193,"")</f>
        <v/>
      </c>
      <c r="D196" s="273">
        <f>IF(A196&lt;&gt;"",""&amp;DATA_KO!C193,"")</f>
        <v/>
      </c>
      <c r="E196" s="274">
        <f>IF(A196&lt;&gt;"",DATA_KO!G193,"")</f>
        <v/>
      </c>
      <c r="F196" s="273">
        <f>IF(A196&lt;&gt;"",""&amp;DATA_KO!H193,"")</f>
        <v/>
      </c>
      <c r="G196" s="273">
        <f>IF(A196&lt;&gt;"",""&amp;DATA_KO!D193,"")</f>
        <v/>
      </c>
      <c r="H196" s="273">
        <f>IF(A196&lt;&gt;"",""&amp;DATA_KO!E193,"")</f>
        <v/>
      </c>
      <c r="I196" s="273">
        <f>IF(A196&lt;&gt;"",""&amp;DATA_KO!F193,"")</f>
        <v/>
      </c>
      <c r="J196" s="275">
        <f>IF(A196&lt;&gt;"","➔ Inspect Lineage","")</f>
        <v/>
      </c>
    </row>
    <row r="197">
      <c r="A197" s="273">
        <f>IF(DATA_KO!A194&lt;&gt;"",""&amp;DATA_KO!A194,"")</f>
        <v/>
      </c>
      <c r="B197" s="273">
        <f>IF(A197&lt;&gt;"","KO","")</f>
        <v/>
      </c>
      <c r="C197" s="273">
        <f>IF(A197&lt;&gt;"",""&amp;DATA_KO!B194,"")</f>
        <v/>
      </c>
      <c r="D197" s="273">
        <f>IF(A197&lt;&gt;"",""&amp;DATA_KO!C194,"")</f>
        <v/>
      </c>
      <c r="E197" s="274">
        <f>IF(A197&lt;&gt;"",DATA_KO!G194,"")</f>
        <v/>
      </c>
      <c r="F197" s="273">
        <f>IF(A197&lt;&gt;"",""&amp;DATA_KO!H194,"")</f>
        <v/>
      </c>
      <c r="G197" s="273">
        <f>IF(A197&lt;&gt;"",""&amp;DATA_KO!D194,"")</f>
        <v/>
      </c>
      <c r="H197" s="273">
        <f>IF(A197&lt;&gt;"",""&amp;DATA_KO!E194,"")</f>
        <v/>
      </c>
      <c r="I197" s="273">
        <f>IF(A197&lt;&gt;"",""&amp;DATA_KO!F194,"")</f>
        <v/>
      </c>
      <c r="J197" s="275">
        <f>IF(A197&lt;&gt;"","➔ Inspect Lineage","")</f>
        <v/>
      </c>
    </row>
    <row r="198">
      <c r="A198" s="273">
        <f>IF(DATA_KO!A195&lt;&gt;"",""&amp;DATA_KO!A195,"")</f>
        <v/>
      </c>
      <c r="B198" s="273">
        <f>IF(A198&lt;&gt;"","KO","")</f>
        <v/>
      </c>
      <c r="C198" s="273">
        <f>IF(A198&lt;&gt;"",""&amp;DATA_KO!B195,"")</f>
        <v/>
      </c>
      <c r="D198" s="273">
        <f>IF(A198&lt;&gt;"",""&amp;DATA_KO!C195,"")</f>
        <v/>
      </c>
      <c r="E198" s="274">
        <f>IF(A198&lt;&gt;"",DATA_KO!G195,"")</f>
        <v/>
      </c>
      <c r="F198" s="273">
        <f>IF(A198&lt;&gt;"",""&amp;DATA_KO!H195,"")</f>
        <v/>
      </c>
      <c r="G198" s="273">
        <f>IF(A198&lt;&gt;"",""&amp;DATA_KO!D195,"")</f>
        <v/>
      </c>
      <c r="H198" s="273">
        <f>IF(A198&lt;&gt;"",""&amp;DATA_KO!E195,"")</f>
        <v/>
      </c>
      <c r="I198" s="273">
        <f>IF(A198&lt;&gt;"",""&amp;DATA_KO!F195,"")</f>
        <v/>
      </c>
      <c r="J198" s="275">
        <f>IF(A198&lt;&gt;"","➔ Inspect Lineage","")</f>
        <v/>
      </c>
    </row>
    <row r="199">
      <c r="A199" s="273">
        <f>IF(DATA_KO!A196&lt;&gt;"",""&amp;DATA_KO!A196,"")</f>
        <v/>
      </c>
      <c r="B199" s="273">
        <f>IF(A199&lt;&gt;"","KO","")</f>
        <v/>
      </c>
      <c r="C199" s="273">
        <f>IF(A199&lt;&gt;"",""&amp;DATA_KO!B196,"")</f>
        <v/>
      </c>
      <c r="D199" s="273">
        <f>IF(A199&lt;&gt;"",""&amp;DATA_KO!C196,"")</f>
        <v/>
      </c>
      <c r="E199" s="274">
        <f>IF(A199&lt;&gt;"",DATA_KO!G196,"")</f>
        <v/>
      </c>
      <c r="F199" s="273">
        <f>IF(A199&lt;&gt;"",""&amp;DATA_KO!H196,"")</f>
        <v/>
      </c>
      <c r="G199" s="273">
        <f>IF(A199&lt;&gt;"",""&amp;DATA_KO!D196,"")</f>
        <v/>
      </c>
      <c r="H199" s="273">
        <f>IF(A199&lt;&gt;"",""&amp;DATA_KO!E196,"")</f>
        <v/>
      </c>
      <c r="I199" s="273">
        <f>IF(A199&lt;&gt;"",""&amp;DATA_KO!F196,"")</f>
        <v/>
      </c>
      <c r="J199" s="275">
        <f>IF(A199&lt;&gt;"","➔ Inspect Lineage","")</f>
        <v/>
      </c>
    </row>
    <row r="200">
      <c r="A200" s="273">
        <f>IF(DATA_KO!A197&lt;&gt;"",""&amp;DATA_KO!A197,"")</f>
        <v/>
      </c>
      <c r="B200" s="273">
        <f>IF(A200&lt;&gt;"","KO","")</f>
        <v/>
      </c>
      <c r="C200" s="273">
        <f>IF(A200&lt;&gt;"",""&amp;DATA_KO!B197,"")</f>
        <v/>
      </c>
      <c r="D200" s="273">
        <f>IF(A200&lt;&gt;"",""&amp;DATA_KO!C197,"")</f>
        <v/>
      </c>
      <c r="E200" s="274">
        <f>IF(A200&lt;&gt;"",DATA_KO!G197,"")</f>
        <v/>
      </c>
      <c r="F200" s="273">
        <f>IF(A200&lt;&gt;"",""&amp;DATA_KO!H197,"")</f>
        <v/>
      </c>
      <c r="G200" s="273">
        <f>IF(A200&lt;&gt;"",""&amp;DATA_KO!D197,"")</f>
        <v/>
      </c>
      <c r="H200" s="273">
        <f>IF(A200&lt;&gt;"",""&amp;DATA_KO!E197,"")</f>
        <v/>
      </c>
      <c r="I200" s="273">
        <f>IF(A200&lt;&gt;"",""&amp;DATA_KO!F197,"")</f>
        <v/>
      </c>
      <c r="J200" s="275">
        <f>IF(A200&lt;&gt;"","➔ Inspect Lineage","")</f>
        <v/>
      </c>
    </row>
    <row r="201">
      <c r="A201" s="273">
        <f>IF(DATA_KO!A198&lt;&gt;"",""&amp;DATA_KO!A198,"")</f>
        <v/>
      </c>
      <c r="B201" s="273">
        <f>IF(A201&lt;&gt;"","KO","")</f>
        <v/>
      </c>
      <c r="C201" s="273">
        <f>IF(A201&lt;&gt;"",""&amp;DATA_KO!B198,"")</f>
        <v/>
      </c>
      <c r="D201" s="273">
        <f>IF(A201&lt;&gt;"",""&amp;DATA_KO!C198,"")</f>
        <v/>
      </c>
      <c r="E201" s="274">
        <f>IF(A201&lt;&gt;"",DATA_KO!G198,"")</f>
        <v/>
      </c>
      <c r="F201" s="273">
        <f>IF(A201&lt;&gt;"",""&amp;DATA_KO!H198,"")</f>
        <v/>
      </c>
      <c r="G201" s="273">
        <f>IF(A201&lt;&gt;"",""&amp;DATA_KO!D198,"")</f>
        <v/>
      </c>
      <c r="H201" s="273">
        <f>IF(A201&lt;&gt;"",""&amp;DATA_KO!E198,"")</f>
        <v/>
      </c>
      <c r="I201" s="273">
        <f>IF(A201&lt;&gt;"",""&amp;DATA_KO!F198,"")</f>
        <v/>
      </c>
      <c r="J201" s="275">
        <f>IF(A201&lt;&gt;"","➔ Inspect Lineage","")</f>
        <v/>
      </c>
    </row>
    <row r="202">
      <c r="A202" s="273">
        <f>IF(DATA_KO!A199&lt;&gt;"",""&amp;DATA_KO!A199,"")</f>
        <v/>
      </c>
      <c r="B202" s="273">
        <f>IF(A202&lt;&gt;"","KO","")</f>
        <v/>
      </c>
      <c r="C202" s="273">
        <f>IF(A202&lt;&gt;"",""&amp;DATA_KO!B199,"")</f>
        <v/>
      </c>
      <c r="D202" s="273">
        <f>IF(A202&lt;&gt;"",""&amp;DATA_KO!C199,"")</f>
        <v/>
      </c>
      <c r="E202" s="274">
        <f>IF(A202&lt;&gt;"",DATA_KO!G199,"")</f>
        <v/>
      </c>
      <c r="F202" s="273">
        <f>IF(A202&lt;&gt;"",""&amp;DATA_KO!H199,"")</f>
        <v/>
      </c>
      <c r="G202" s="273">
        <f>IF(A202&lt;&gt;"",""&amp;DATA_KO!D199,"")</f>
        <v/>
      </c>
      <c r="H202" s="273">
        <f>IF(A202&lt;&gt;"",""&amp;DATA_KO!E199,"")</f>
        <v/>
      </c>
      <c r="I202" s="273">
        <f>IF(A202&lt;&gt;"",""&amp;DATA_KO!F199,"")</f>
        <v/>
      </c>
      <c r="J202" s="275">
        <f>IF(A202&lt;&gt;"","➔ Inspect Lineage","")</f>
        <v/>
      </c>
    </row>
    <row r="203">
      <c r="A203" s="273">
        <f>IF(DATA_KO!A200&lt;&gt;"",""&amp;DATA_KO!A200,"")</f>
        <v/>
      </c>
      <c r="B203" s="273">
        <f>IF(A203&lt;&gt;"","KO","")</f>
        <v/>
      </c>
      <c r="C203" s="273">
        <f>IF(A203&lt;&gt;"",""&amp;DATA_KO!B200,"")</f>
        <v/>
      </c>
      <c r="D203" s="273">
        <f>IF(A203&lt;&gt;"",""&amp;DATA_KO!C200,"")</f>
        <v/>
      </c>
      <c r="E203" s="274">
        <f>IF(A203&lt;&gt;"",DATA_KO!G200,"")</f>
        <v/>
      </c>
      <c r="F203" s="273">
        <f>IF(A203&lt;&gt;"",""&amp;DATA_KO!H200,"")</f>
        <v/>
      </c>
      <c r="G203" s="273">
        <f>IF(A203&lt;&gt;"",""&amp;DATA_KO!D200,"")</f>
        <v/>
      </c>
      <c r="H203" s="273">
        <f>IF(A203&lt;&gt;"",""&amp;DATA_KO!E200,"")</f>
        <v/>
      </c>
      <c r="I203" s="273">
        <f>IF(A203&lt;&gt;"",""&amp;DATA_KO!F200,"")</f>
        <v/>
      </c>
      <c r="J203" s="275">
        <f>IF(A203&lt;&gt;"","➔ Inspect Lineage","")</f>
        <v/>
      </c>
    </row>
    <row r="204">
      <c r="A204" s="273">
        <f>IF(DATA_KO!A201&lt;&gt;"",""&amp;DATA_KO!A201,"")</f>
        <v/>
      </c>
      <c r="B204" s="273">
        <f>IF(A204&lt;&gt;"","KO","")</f>
        <v/>
      </c>
      <c r="C204" s="273">
        <f>IF(A204&lt;&gt;"",""&amp;DATA_KO!B201,"")</f>
        <v/>
      </c>
      <c r="D204" s="273">
        <f>IF(A204&lt;&gt;"",""&amp;DATA_KO!C201,"")</f>
        <v/>
      </c>
      <c r="E204" s="274">
        <f>IF(A204&lt;&gt;"",DATA_KO!G201,"")</f>
        <v/>
      </c>
      <c r="F204" s="273">
        <f>IF(A204&lt;&gt;"",""&amp;DATA_KO!H201,"")</f>
        <v/>
      </c>
      <c r="G204" s="273">
        <f>IF(A204&lt;&gt;"",""&amp;DATA_KO!D201,"")</f>
        <v/>
      </c>
      <c r="H204" s="273">
        <f>IF(A204&lt;&gt;"",""&amp;DATA_KO!E201,"")</f>
        <v/>
      </c>
      <c r="I204" s="273">
        <f>IF(A204&lt;&gt;"",""&amp;DATA_KO!F201,"")</f>
        <v/>
      </c>
      <c r="J204" s="275">
        <f>IF(A204&lt;&gt;"","➔ Inspect Lineage","")</f>
        <v/>
      </c>
    </row>
    <row r="205">
      <c r="A205" s="273">
        <f>IF(DATA_KO!A202&lt;&gt;"",""&amp;DATA_KO!A202,"")</f>
        <v/>
      </c>
      <c r="B205" s="273">
        <f>IF(A205&lt;&gt;"","KO","")</f>
        <v/>
      </c>
      <c r="C205" s="273">
        <f>IF(A205&lt;&gt;"",""&amp;DATA_KO!B202,"")</f>
        <v/>
      </c>
      <c r="D205" s="273">
        <f>IF(A205&lt;&gt;"",""&amp;DATA_KO!C202,"")</f>
        <v/>
      </c>
      <c r="E205" s="274">
        <f>IF(A205&lt;&gt;"",DATA_KO!G202,"")</f>
        <v/>
      </c>
      <c r="F205" s="273">
        <f>IF(A205&lt;&gt;"",""&amp;DATA_KO!H202,"")</f>
        <v/>
      </c>
      <c r="G205" s="273">
        <f>IF(A205&lt;&gt;"",""&amp;DATA_KO!D202,"")</f>
        <v/>
      </c>
      <c r="H205" s="273">
        <f>IF(A205&lt;&gt;"",""&amp;DATA_KO!E202,"")</f>
        <v/>
      </c>
      <c r="I205" s="273">
        <f>IF(A205&lt;&gt;"",""&amp;DATA_KO!F202,"")</f>
        <v/>
      </c>
      <c r="J205" s="275">
        <f>IF(A205&lt;&gt;"","➔ Inspect Lineage","")</f>
        <v/>
      </c>
    </row>
    <row r="206">
      <c r="A206" s="273">
        <f>IF(DATA_KO!A203&lt;&gt;"",""&amp;DATA_KO!A203,"")</f>
        <v/>
      </c>
      <c r="B206" s="273">
        <f>IF(A206&lt;&gt;"","KO","")</f>
        <v/>
      </c>
      <c r="C206" s="273">
        <f>IF(A206&lt;&gt;"",""&amp;DATA_KO!B203,"")</f>
        <v/>
      </c>
      <c r="D206" s="273">
        <f>IF(A206&lt;&gt;"",""&amp;DATA_KO!C203,"")</f>
        <v/>
      </c>
      <c r="E206" s="274">
        <f>IF(A206&lt;&gt;"",DATA_KO!G203,"")</f>
        <v/>
      </c>
      <c r="F206" s="273">
        <f>IF(A206&lt;&gt;"",""&amp;DATA_KO!H203,"")</f>
        <v/>
      </c>
      <c r="G206" s="273">
        <f>IF(A206&lt;&gt;"",""&amp;DATA_KO!D203,"")</f>
        <v/>
      </c>
      <c r="H206" s="273">
        <f>IF(A206&lt;&gt;"",""&amp;DATA_KO!E203,"")</f>
        <v/>
      </c>
      <c r="I206" s="273">
        <f>IF(A206&lt;&gt;"",""&amp;DATA_KO!F203,"")</f>
        <v/>
      </c>
      <c r="J206" s="275">
        <f>IF(A206&lt;&gt;"","➔ Inspect Lineage","")</f>
        <v/>
      </c>
    </row>
    <row r="207">
      <c r="A207" s="273">
        <f>IF(DATA_KO!A204&lt;&gt;"",""&amp;DATA_KO!A204,"")</f>
        <v/>
      </c>
      <c r="B207" s="273">
        <f>IF(A207&lt;&gt;"","KO","")</f>
        <v/>
      </c>
      <c r="C207" s="273">
        <f>IF(A207&lt;&gt;"",""&amp;DATA_KO!B204,"")</f>
        <v/>
      </c>
      <c r="D207" s="273">
        <f>IF(A207&lt;&gt;"",""&amp;DATA_KO!C204,"")</f>
        <v/>
      </c>
      <c r="E207" s="274">
        <f>IF(A207&lt;&gt;"",DATA_KO!G204,"")</f>
        <v/>
      </c>
      <c r="F207" s="273">
        <f>IF(A207&lt;&gt;"",""&amp;DATA_KO!H204,"")</f>
        <v/>
      </c>
      <c r="G207" s="273">
        <f>IF(A207&lt;&gt;"",""&amp;DATA_KO!D204,"")</f>
        <v/>
      </c>
      <c r="H207" s="273">
        <f>IF(A207&lt;&gt;"",""&amp;DATA_KO!E204,"")</f>
        <v/>
      </c>
      <c r="I207" s="273">
        <f>IF(A207&lt;&gt;"",""&amp;DATA_KO!F204,"")</f>
        <v/>
      </c>
      <c r="J207" s="275">
        <f>IF(A207&lt;&gt;"","➔ Inspect Lineage","")</f>
        <v/>
      </c>
    </row>
    <row r="208">
      <c r="A208" s="273">
        <f>IF(DATA_KO!A205&lt;&gt;"",""&amp;DATA_KO!A205,"")</f>
        <v/>
      </c>
      <c r="B208" s="273">
        <f>IF(A208&lt;&gt;"","KO","")</f>
        <v/>
      </c>
      <c r="C208" s="273">
        <f>IF(A208&lt;&gt;"",""&amp;DATA_KO!B205,"")</f>
        <v/>
      </c>
      <c r="D208" s="273">
        <f>IF(A208&lt;&gt;"",""&amp;DATA_KO!C205,"")</f>
        <v/>
      </c>
      <c r="E208" s="274">
        <f>IF(A208&lt;&gt;"",DATA_KO!G205,"")</f>
        <v/>
      </c>
      <c r="F208" s="273">
        <f>IF(A208&lt;&gt;"",""&amp;DATA_KO!H205,"")</f>
        <v/>
      </c>
      <c r="G208" s="273">
        <f>IF(A208&lt;&gt;"",""&amp;DATA_KO!D205,"")</f>
        <v/>
      </c>
      <c r="H208" s="273">
        <f>IF(A208&lt;&gt;"",""&amp;DATA_KO!E205,"")</f>
        <v/>
      </c>
      <c r="I208" s="273">
        <f>IF(A208&lt;&gt;"",""&amp;DATA_KO!F205,"")</f>
        <v/>
      </c>
      <c r="J208" s="275">
        <f>IF(A208&lt;&gt;"","➔ Inspect Lineage","")</f>
        <v/>
      </c>
    </row>
    <row r="209">
      <c r="A209" s="273">
        <f>IF(DATA_KO!A206&lt;&gt;"",""&amp;DATA_KO!A206,"")</f>
        <v/>
      </c>
      <c r="B209" s="273">
        <f>IF(A209&lt;&gt;"","KO","")</f>
        <v/>
      </c>
      <c r="C209" s="273">
        <f>IF(A209&lt;&gt;"",""&amp;DATA_KO!B206,"")</f>
        <v/>
      </c>
      <c r="D209" s="273">
        <f>IF(A209&lt;&gt;"",""&amp;DATA_KO!C206,"")</f>
        <v/>
      </c>
      <c r="E209" s="274">
        <f>IF(A209&lt;&gt;"",DATA_KO!G206,"")</f>
        <v/>
      </c>
      <c r="F209" s="273">
        <f>IF(A209&lt;&gt;"",""&amp;DATA_KO!H206,"")</f>
        <v/>
      </c>
      <c r="G209" s="273">
        <f>IF(A209&lt;&gt;"",""&amp;DATA_KO!D206,"")</f>
        <v/>
      </c>
      <c r="H209" s="273">
        <f>IF(A209&lt;&gt;"",""&amp;DATA_KO!E206,"")</f>
        <v/>
      </c>
      <c r="I209" s="273">
        <f>IF(A209&lt;&gt;"",""&amp;DATA_KO!F206,"")</f>
        <v/>
      </c>
      <c r="J209" s="275">
        <f>IF(A209&lt;&gt;"","➔ Inspect Lineage","")</f>
        <v/>
      </c>
    </row>
    <row r="210">
      <c r="A210" s="273">
        <f>IF(DATA_KO!A207&lt;&gt;"",""&amp;DATA_KO!A207,"")</f>
        <v/>
      </c>
      <c r="B210" s="273">
        <f>IF(A210&lt;&gt;"","KO","")</f>
        <v/>
      </c>
      <c r="C210" s="273">
        <f>IF(A210&lt;&gt;"",""&amp;DATA_KO!B207,"")</f>
        <v/>
      </c>
      <c r="D210" s="273">
        <f>IF(A210&lt;&gt;"",""&amp;DATA_KO!C207,"")</f>
        <v/>
      </c>
      <c r="E210" s="274">
        <f>IF(A210&lt;&gt;"",DATA_KO!G207,"")</f>
        <v/>
      </c>
      <c r="F210" s="273">
        <f>IF(A210&lt;&gt;"",""&amp;DATA_KO!H207,"")</f>
        <v/>
      </c>
      <c r="G210" s="273">
        <f>IF(A210&lt;&gt;"",""&amp;DATA_KO!D207,"")</f>
        <v/>
      </c>
      <c r="H210" s="273">
        <f>IF(A210&lt;&gt;"",""&amp;DATA_KO!E207,"")</f>
        <v/>
      </c>
      <c r="I210" s="273">
        <f>IF(A210&lt;&gt;"",""&amp;DATA_KO!F207,"")</f>
        <v/>
      </c>
      <c r="J210" s="275">
        <f>IF(A210&lt;&gt;"","➔ Inspect Lineage","")</f>
        <v/>
      </c>
    </row>
    <row r="211">
      <c r="A211" s="273">
        <f>IF(DATA_KO!A208&lt;&gt;"",""&amp;DATA_KO!A208,"")</f>
        <v/>
      </c>
      <c r="B211" s="273">
        <f>IF(A211&lt;&gt;"","KO","")</f>
        <v/>
      </c>
      <c r="C211" s="273">
        <f>IF(A211&lt;&gt;"",""&amp;DATA_KO!B208,"")</f>
        <v/>
      </c>
      <c r="D211" s="273">
        <f>IF(A211&lt;&gt;"",""&amp;DATA_KO!C208,"")</f>
        <v/>
      </c>
      <c r="E211" s="274">
        <f>IF(A211&lt;&gt;"",DATA_KO!G208,"")</f>
        <v/>
      </c>
      <c r="F211" s="273">
        <f>IF(A211&lt;&gt;"",""&amp;DATA_KO!H208,"")</f>
        <v/>
      </c>
      <c r="G211" s="273">
        <f>IF(A211&lt;&gt;"",""&amp;DATA_KO!D208,"")</f>
        <v/>
      </c>
      <c r="H211" s="273">
        <f>IF(A211&lt;&gt;"",""&amp;DATA_KO!E208,"")</f>
        <v/>
      </c>
      <c r="I211" s="273">
        <f>IF(A211&lt;&gt;"",""&amp;DATA_KO!F208,"")</f>
        <v/>
      </c>
      <c r="J211" s="275">
        <f>IF(A211&lt;&gt;"","➔ Inspect Lineage","")</f>
        <v/>
      </c>
    </row>
    <row r="212">
      <c r="A212" s="273">
        <f>IF(DATA_KO!A209&lt;&gt;"",""&amp;DATA_KO!A209,"")</f>
        <v/>
      </c>
      <c r="B212" s="273">
        <f>IF(A212&lt;&gt;"","KO","")</f>
        <v/>
      </c>
      <c r="C212" s="273">
        <f>IF(A212&lt;&gt;"",""&amp;DATA_KO!B209,"")</f>
        <v/>
      </c>
      <c r="D212" s="273">
        <f>IF(A212&lt;&gt;"",""&amp;DATA_KO!C209,"")</f>
        <v/>
      </c>
      <c r="E212" s="274">
        <f>IF(A212&lt;&gt;"",DATA_KO!G209,"")</f>
        <v/>
      </c>
      <c r="F212" s="273">
        <f>IF(A212&lt;&gt;"",""&amp;DATA_KO!H209,"")</f>
        <v/>
      </c>
      <c r="G212" s="273">
        <f>IF(A212&lt;&gt;"",""&amp;DATA_KO!D209,"")</f>
        <v/>
      </c>
      <c r="H212" s="273">
        <f>IF(A212&lt;&gt;"",""&amp;DATA_KO!E209,"")</f>
        <v/>
      </c>
      <c r="I212" s="273">
        <f>IF(A212&lt;&gt;"",""&amp;DATA_KO!F209,"")</f>
        <v/>
      </c>
      <c r="J212" s="275">
        <f>IF(A212&lt;&gt;"","➔ Inspect Lineage","")</f>
        <v/>
      </c>
    </row>
    <row r="213">
      <c r="A213" s="273">
        <f>IF(DATA_KO!A210&lt;&gt;"",""&amp;DATA_KO!A210,"")</f>
        <v/>
      </c>
      <c r="B213" s="273">
        <f>IF(A213&lt;&gt;"","KO","")</f>
        <v/>
      </c>
      <c r="C213" s="273">
        <f>IF(A213&lt;&gt;"",""&amp;DATA_KO!B210,"")</f>
        <v/>
      </c>
      <c r="D213" s="273">
        <f>IF(A213&lt;&gt;"",""&amp;DATA_KO!C210,"")</f>
        <v/>
      </c>
      <c r="E213" s="274">
        <f>IF(A213&lt;&gt;"",DATA_KO!G210,"")</f>
        <v/>
      </c>
      <c r="F213" s="273">
        <f>IF(A213&lt;&gt;"",""&amp;DATA_KO!H210,"")</f>
        <v/>
      </c>
      <c r="G213" s="273">
        <f>IF(A213&lt;&gt;"",""&amp;DATA_KO!D210,"")</f>
        <v/>
      </c>
      <c r="H213" s="273">
        <f>IF(A213&lt;&gt;"",""&amp;DATA_KO!E210,"")</f>
        <v/>
      </c>
      <c r="I213" s="273">
        <f>IF(A213&lt;&gt;"",""&amp;DATA_KO!F210,"")</f>
        <v/>
      </c>
      <c r="J213" s="275">
        <f>IF(A213&lt;&gt;"","➔ Inspect Lineage","")</f>
        <v/>
      </c>
    </row>
    <row r="214">
      <c r="A214" s="273">
        <f>IF(DATA_KO!A211&lt;&gt;"",""&amp;DATA_KO!A211,"")</f>
        <v/>
      </c>
      <c r="B214" s="273">
        <f>IF(A214&lt;&gt;"","KO","")</f>
        <v/>
      </c>
      <c r="C214" s="273">
        <f>IF(A214&lt;&gt;"",""&amp;DATA_KO!B211,"")</f>
        <v/>
      </c>
      <c r="D214" s="273">
        <f>IF(A214&lt;&gt;"",""&amp;DATA_KO!C211,"")</f>
        <v/>
      </c>
      <c r="E214" s="274">
        <f>IF(A214&lt;&gt;"",DATA_KO!G211,"")</f>
        <v/>
      </c>
      <c r="F214" s="273">
        <f>IF(A214&lt;&gt;"",""&amp;DATA_KO!H211,"")</f>
        <v/>
      </c>
      <c r="G214" s="273">
        <f>IF(A214&lt;&gt;"",""&amp;DATA_KO!D211,"")</f>
        <v/>
      </c>
      <c r="H214" s="273">
        <f>IF(A214&lt;&gt;"",""&amp;DATA_KO!E211,"")</f>
        <v/>
      </c>
      <c r="I214" s="273">
        <f>IF(A214&lt;&gt;"",""&amp;DATA_KO!F211,"")</f>
        <v/>
      </c>
      <c r="J214" s="275">
        <f>IF(A214&lt;&gt;"","➔ Inspect Lineage","")</f>
        <v/>
      </c>
    </row>
    <row r="215">
      <c r="A215" s="273">
        <f>IF(DATA_KO!A212&lt;&gt;"",""&amp;DATA_KO!A212,"")</f>
        <v/>
      </c>
      <c r="B215" s="273">
        <f>IF(A215&lt;&gt;"","KO","")</f>
        <v/>
      </c>
      <c r="C215" s="273">
        <f>IF(A215&lt;&gt;"",""&amp;DATA_KO!B212,"")</f>
        <v/>
      </c>
      <c r="D215" s="273">
        <f>IF(A215&lt;&gt;"",""&amp;DATA_KO!C212,"")</f>
        <v/>
      </c>
      <c r="E215" s="274">
        <f>IF(A215&lt;&gt;"",DATA_KO!G212,"")</f>
        <v/>
      </c>
      <c r="F215" s="273">
        <f>IF(A215&lt;&gt;"",""&amp;DATA_KO!H212,"")</f>
        <v/>
      </c>
      <c r="G215" s="273">
        <f>IF(A215&lt;&gt;"",""&amp;DATA_KO!D212,"")</f>
        <v/>
      </c>
      <c r="H215" s="273">
        <f>IF(A215&lt;&gt;"",""&amp;DATA_KO!E212,"")</f>
        <v/>
      </c>
      <c r="I215" s="273">
        <f>IF(A215&lt;&gt;"",""&amp;DATA_KO!F212,"")</f>
        <v/>
      </c>
      <c r="J215" s="275">
        <f>IF(A215&lt;&gt;"","➔ Inspect Lineage","")</f>
        <v/>
      </c>
    </row>
    <row r="216">
      <c r="A216" s="273">
        <f>IF(DATA_KO!A213&lt;&gt;"",""&amp;DATA_KO!A213,"")</f>
        <v/>
      </c>
      <c r="B216" s="273">
        <f>IF(A216&lt;&gt;"","KO","")</f>
        <v/>
      </c>
      <c r="C216" s="273">
        <f>IF(A216&lt;&gt;"",""&amp;DATA_KO!B213,"")</f>
        <v/>
      </c>
      <c r="D216" s="273">
        <f>IF(A216&lt;&gt;"",""&amp;DATA_KO!C213,"")</f>
        <v/>
      </c>
      <c r="E216" s="274">
        <f>IF(A216&lt;&gt;"",DATA_KO!G213,"")</f>
        <v/>
      </c>
      <c r="F216" s="273">
        <f>IF(A216&lt;&gt;"",""&amp;DATA_KO!H213,"")</f>
        <v/>
      </c>
      <c r="G216" s="273">
        <f>IF(A216&lt;&gt;"",""&amp;DATA_KO!D213,"")</f>
        <v/>
      </c>
      <c r="H216" s="273">
        <f>IF(A216&lt;&gt;"",""&amp;DATA_KO!E213,"")</f>
        <v/>
      </c>
      <c r="I216" s="273">
        <f>IF(A216&lt;&gt;"",""&amp;DATA_KO!F213,"")</f>
        <v/>
      </c>
      <c r="J216" s="275">
        <f>IF(A216&lt;&gt;"","➔ Inspect Lineage","")</f>
        <v/>
      </c>
    </row>
    <row r="217">
      <c r="A217" s="273">
        <f>IF(DATA_KO!A214&lt;&gt;"",""&amp;DATA_KO!A214,"")</f>
        <v/>
      </c>
      <c r="B217" s="273">
        <f>IF(A217&lt;&gt;"","KO","")</f>
        <v/>
      </c>
      <c r="C217" s="273">
        <f>IF(A217&lt;&gt;"",""&amp;DATA_KO!B214,"")</f>
        <v/>
      </c>
      <c r="D217" s="273">
        <f>IF(A217&lt;&gt;"",""&amp;DATA_KO!C214,"")</f>
        <v/>
      </c>
      <c r="E217" s="274">
        <f>IF(A217&lt;&gt;"",DATA_KO!G214,"")</f>
        <v/>
      </c>
      <c r="F217" s="273">
        <f>IF(A217&lt;&gt;"",""&amp;DATA_KO!H214,"")</f>
        <v/>
      </c>
      <c r="G217" s="273">
        <f>IF(A217&lt;&gt;"",""&amp;DATA_KO!D214,"")</f>
        <v/>
      </c>
      <c r="H217" s="273">
        <f>IF(A217&lt;&gt;"",""&amp;DATA_KO!E214,"")</f>
        <v/>
      </c>
      <c r="I217" s="273">
        <f>IF(A217&lt;&gt;"",""&amp;DATA_KO!F214,"")</f>
        <v/>
      </c>
      <c r="J217" s="275">
        <f>IF(A217&lt;&gt;"","➔ Inspect Lineage","")</f>
        <v/>
      </c>
    </row>
    <row r="218">
      <c r="A218" s="273">
        <f>IF(DATA_KO!A215&lt;&gt;"",""&amp;DATA_KO!A215,"")</f>
        <v/>
      </c>
      <c r="B218" s="273">
        <f>IF(A218&lt;&gt;"","KO","")</f>
        <v/>
      </c>
      <c r="C218" s="273">
        <f>IF(A218&lt;&gt;"",""&amp;DATA_KO!B215,"")</f>
        <v/>
      </c>
      <c r="D218" s="273">
        <f>IF(A218&lt;&gt;"",""&amp;DATA_KO!C215,"")</f>
        <v/>
      </c>
      <c r="E218" s="274">
        <f>IF(A218&lt;&gt;"",DATA_KO!G215,"")</f>
        <v/>
      </c>
      <c r="F218" s="273">
        <f>IF(A218&lt;&gt;"",""&amp;DATA_KO!H215,"")</f>
        <v/>
      </c>
      <c r="G218" s="273">
        <f>IF(A218&lt;&gt;"",""&amp;DATA_KO!D215,"")</f>
        <v/>
      </c>
      <c r="H218" s="273">
        <f>IF(A218&lt;&gt;"",""&amp;DATA_KO!E215,"")</f>
        <v/>
      </c>
      <c r="I218" s="273">
        <f>IF(A218&lt;&gt;"",""&amp;DATA_KO!F215,"")</f>
        <v/>
      </c>
      <c r="J218" s="275">
        <f>IF(A218&lt;&gt;"","➔ Inspect Lineage","")</f>
        <v/>
      </c>
    </row>
    <row r="219">
      <c r="A219" s="273">
        <f>IF(DATA_KO!A216&lt;&gt;"",""&amp;DATA_KO!A216,"")</f>
        <v/>
      </c>
      <c r="B219" s="273">
        <f>IF(A219&lt;&gt;"","KO","")</f>
        <v/>
      </c>
      <c r="C219" s="273">
        <f>IF(A219&lt;&gt;"",""&amp;DATA_KO!B216,"")</f>
        <v/>
      </c>
      <c r="D219" s="273">
        <f>IF(A219&lt;&gt;"",""&amp;DATA_KO!C216,"")</f>
        <v/>
      </c>
      <c r="E219" s="274">
        <f>IF(A219&lt;&gt;"",DATA_KO!G216,"")</f>
        <v/>
      </c>
      <c r="F219" s="273">
        <f>IF(A219&lt;&gt;"",""&amp;DATA_KO!H216,"")</f>
        <v/>
      </c>
      <c r="G219" s="273">
        <f>IF(A219&lt;&gt;"",""&amp;DATA_KO!D216,"")</f>
        <v/>
      </c>
      <c r="H219" s="273">
        <f>IF(A219&lt;&gt;"",""&amp;DATA_KO!E216,"")</f>
        <v/>
      </c>
      <c r="I219" s="273">
        <f>IF(A219&lt;&gt;"",""&amp;DATA_KO!F216,"")</f>
        <v/>
      </c>
      <c r="J219" s="275">
        <f>IF(A219&lt;&gt;"","➔ Inspect Lineage","")</f>
        <v/>
      </c>
    </row>
    <row r="220">
      <c r="A220" s="273">
        <f>IF(DATA_KO!A217&lt;&gt;"",""&amp;DATA_KO!A217,"")</f>
        <v/>
      </c>
      <c r="B220" s="273">
        <f>IF(A220&lt;&gt;"","KO","")</f>
        <v/>
      </c>
      <c r="C220" s="273">
        <f>IF(A220&lt;&gt;"",""&amp;DATA_KO!B217,"")</f>
        <v/>
      </c>
      <c r="D220" s="273">
        <f>IF(A220&lt;&gt;"",""&amp;DATA_KO!C217,"")</f>
        <v/>
      </c>
      <c r="E220" s="274">
        <f>IF(A220&lt;&gt;"",DATA_KO!G217,"")</f>
        <v/>
      </c>
      <c r="F220" s="273">
        <f>IF(A220&lt;&gt;"",""&amp;DATA_KO!H217,"")</f>
        <v/>
      </c>
      <c r="G220" s="273">
        <f>IF(A220&lt;&gt;"",""&amp;DATA_KO!D217,"")</f>
        <v/>
      </c>
      <c r="H220" s="273">
        <f>IF(A220&lt;&gt;"",""&amp;DATA_KO!E217,"")</f>
        <v/>
      </c>
      <c r="I220" s="273">
        <f>IF(A220&lt;&gt;"",""&amp;DATA_KO!F217,"")</f>
        <v/>
      </c>
      <c r="J220" s="275">
        <f>IF(A220&lt;&gt;"","➔ Inspect Lineage","")</f>
        <v/>
      </c>
    </row>
    <row r="221">
      <c r="A221" s="273">
        <f>IF(DATA_KO!A218&lt;&gt;"",""&amp;DATA_KO!A218,"")</f>
        <v/>
      </c>
      <c r="B221" s="273">
        <f>IF(A221&lt;&gt;"","KO","")</f>
        <v/>
      </c>
      <c r="C221" s="273">
        <f>IF(A221&lt;&gt;"",""&amp;DATA_KO!B218,"")</f>
        <v/>
      </c>
      <c r="D221" s="273">
        <f>IF(A221&lt;&gt;"",""&amp;DATA_KO!C218,"")</f>
        <v/>
      </c>
      <c r="E221" s="274">
        <f>IF(A221&lt;&gt;"",DATA_KO!G218,"")</f>
        <v/>
      </c>
      <c r="F221" s="273">
        <f>IF(A221&lt;&gt;"",""&amp;DATA_KO!H218,"")</f>
        <v/>
      </c>
      <c r="G221" s="273">
        <f>IF(A221&lt;&gt;"",""&amp;DATA_KO!D218,"")</f>
        <v/>
      </c>
      <c r="H221" s="273">
        <f>IF(A221&lt;&gt;"",""&amp;DATA_KO!E218,"")</f>
        <v/>
      </c>
      <c r="I221" s="273">
        <f>IF(A221&lt;&gt;"",""&amp;DATA_KO!F218,"")</f>
        <v/>
      </c>
      <c r="J221" s="275">
        <f>IF(A221&lt;&gt;"","➔ Inspect Lineage","")</f>
        <v/>
      </c>
    </row>
    <row r="222">
      <c r="A222" s="273">
        <f>IF(DATA_KO!A219&lt;&gt;"",""&amp;DATA_KO!A219,"")</f>
        <v/>
      </c>
      <c r="B222" s="273">
        <f>IF(A222&lt;&gt;"","KO","")</f>
        <v/>
      </c>
      <c r="C222" s="273">
        <f>IF(A222&lt;&gt;"",""&amp;DATA_KO!B219,"")</f>
        <v/>
      </c>
      <c r="D222" s="273">
        <f>IF(A222&lt;&gt;"",""&amp;DATA_KO!C219,"")</f>
        <v/>
      </c>
      <c r="E222" s="274">
        <f>IF(A222&lt;&gt;"",DATA_KO!G219,"")</f>
        <v/>
      </c>
      <c r="F222" s="273">
        <f>IF(A222&lt;&gt;"",""&amp;DATA_KO!H219,"")</f>
        <v/>
      </c>
      <c r="G222" s="273">
        <f>IF(A222&lt;&gt;"",""&amp;DATA_KO!D219,"")</f>
        <v/>
      </c>
      <c r="H222" s="273">
        <f>IF(A222&lt;&gt;"",""&amp;DATA_KO!E219,"")</f>
        <v/>
      </c>
      <c r="I222" s="273">
        <f>IF(A222&lt;&gt;"",""&amp;DATA_KO!F219,"")</f>
        <v/>
      </c>
      <c r="J222" s="275">
        <f>IF(A222&lt;&gt;"","➔ Inspect Lineage","")</f>
        <v/>
      </c>
    </row>
    <row r="223">
      <c r="A223" s="273">
        <f>IF(DATA_KO!A220&lt;&gt;"",""&amp;DATA_KO!A220,"")</f>
        <v/>
      </c>
      <c r="B223" s="273">
        <f>IF(A223&lt;&gt;"","KO","")</f>
        <v/>
      </c>
      <c r="C223" s="273">
        <f>IF(A223&lt;&gt;"",""&amp;DATA_KO!B220,"")</f>
        <v/>
      </c>
      <c r="D223" s="273">
        <f>IF(A223&lt;&gt;"",""&amp;DATA_KO!C220,"")</f>
        <v/>
      </c>
      <c r="E223" s="274">
        <f>IF(A223&lt;&gt;"",DATA_KO!G220,"")</f>
        <v/>
      </c>
      <c r="F223" s="273">
        <f>IF(A223&lt;&gt;"",""&amp;DATA_KO!H220,"")</f>
        <v/>
      </c>
      <c r="G223" s="273">
        <f>IF(A223&lt;&gt;"",""&amp;DATA_KO!D220,"")</f>
        <v/>
      </c>
      <c r="H223" s="273">
        <f>IF(A223&lt;&gt;"",""&amp;DATA_KO!E220,"")</f>
        <v/>
      </c>
      <c r="I223" s="273">
        <f>IF(A223&lt;&gt;"",""&amp;DATA_KO!F220,"")</f>
        <v/>
      </c>
      <c r="J223" s="275">
        <f>IF(A223&lt;&gt;"","➔ Inspect Lineage","")</f>
        <v/>
      </c>
    </row>
    <row r="224">
      <c r="A224" s="273">
        <f>IF(DATA_KO!A221&lt;&gt;"",""&amp;DATA_KO!A221,"")</f>
        <v/>
      </c>
      <c r="B224" s="273">
        <f>IF(A224&lt;&gt;"","KO","")</f>
        <v/>
      </c>
      <c r="C224" s="273">
        <f>IF(A224&lt;&gt;"",""&amp;DATA_KO!B221,"")</f>
        <v/>
      </c>
      <c r="D224" s="273">
        <f>IF(A224&lt;&gt;"",""&amp;DATA_KO!C221,"")</f>
        <v/>
      </c>
      <c r="E224" s="274">
        <f>IF(A224&lt;&gt;"",DATA_KO!G221,"")</f>
        <v/>
      </c>
      <c r="F224" s="273">
        <f>IF(A224&lt;&gt;"",""&amp;DATA_KO!H221,"")</f>
        <v/>
      </c>
      <c r="G224" s="273">
        <f>IF(A224&lt;&gt;"",""&amp;DATA_KO!D221,"")</f>
        <v/>
      </c>
      <c r="H224" s="273">
        <f>IF(A224&lt;&gt;"",""&amp;DATA_KO!E221,"")</f>
        <v/>
      </c>
      <c r="I224" s="273">
        <f>IF(A224&lt;&gt;"",""&amp;DATA_KO!F221,"")</f>
        <v/>
      </c>
      <c r="J224" s="275">
        <f>IF(A224&lt;&gt;"","➔ Inspect Lineage","")</f>
        <v/>
      </c>
    </row>
    <row r="225">
      <c r="A225" s="273">
        <f>IF(DATA_KO!A222&lt;&gt;"",""&amp;DATA_KO!A222,"")</f>
        <v/>
      </c>
      <c r="B225" s="273">
        <f>IF(A225&lt;&gt;"","KO","")</f>
        <v/>
      </c>
      <c r="C225" s="273">
        <f>IF(A225&lt;&gt;"",""&amp;DATA_KO!B222,"")</f>
        <v/>
      </c>
      <c r="D225" s="273">
        <f>IF(A225&lt;&gt;"",""&amp;DATA_KO!C222,"")</f>
        <v/>
      </c>
      <c r="E225" s="274">
        <f>IF(A225&lt;&gt;"",DATA_KO!G222,"")</f>
        <v/>
      </c>
      <c r="F225" s="273">
        <f>IF(A225&lt;&gt;"",""&amp;DATA_KO!H222,"")</f>
        <v/>
      </c>
      <c r="G225" s="273">
        <f>IF(A225&lt;&gt;"",""&amp;DATA_KO!D222,"")</f>
        <v/>
      </c>
      <c r="H225" s="273">
        <f>IF(A225&lt;&gt;"",""&amp;DATA_KO!E222,"")</f>
        <v/>
      </c>
      <c r="I225" s="273">
        <f>IF(A225&lt;&gt;"",""&amp;DATA_KO!F222,"")</f>
        <v/>
      </c>
      <c r="J225" s="275">
        <f>IF(A225&lt;&gt;"","➔ Inspect Lineage","")</f>
        <v/>
      </c>
    </row>
    <row r="226">
      <c r="A226" s="273">
        <f>IF(DATA_KO!A223&lt;&gt;"",""&amp;DATA_KO!A223,"")</f>
        <v/>
      </c>
      <c r="B226" s="273">
        <f>IF(A226&lt;&gt;"","KO","")</f>
        <v/>
      </c>
      <c r="C226" s="273">
        <f>IF(A226&lt;&gt;"",""&amp;DATA_KO!B223,"")</f>
        <v/>
      </c>
      <c r="D226" s="273">
        <f>IF(A226&lt;&gt;"",""&amp;DATA_KO!C223,"")</f>
        <v/>
      </c>
      <c r="E226" s="274">
        <f>IF(A226&lt;&gt;"",DATA_KO!G223,"")</f>
        <v/>
      </c>
      <c r="F226" s="273">
        <f>IF(A226&lt;&gt;"",""&amp;DATA_KO!H223,"")</f>
        <v/>
      </c>
      <c r="G226" s="273">
        <f>IF(A226&lt;&gt;"",""&amp;DATA_KO!D223,"")</f>
        <v/>
      </c>
      <c r="H226" s="273">
        <f>IF(A226&lt;&gt;"",""&amp;DATA_KO!E223,"")</f>
        <v/>
      </c>
      <c r="I226" s="273">
        <f>IF(A226&lt;&gt;"",""&amp;DATA_KO!F223,"")</f>
        <v/>
      </c>
      <c r="J226" s="275">
        <f>IF(A226&lt;&gt;"","➔ Inspect Lineage","")</f>
        <v/>
      </c>
    </row>
    <row r="227">
      <c r="A227" s="273">
        <f>IF(DATA_KO!A224&lt;&gt;"",""&amp;DATA_KO!A224,"")</f>
        <v/>
      </c>
      <c r="B227" s="273">
        <f>IF(A227&lt;&gt;"","KO","")</f>
        <v/>
      </c>
      <c r="C227" s="273">
        <f>IF(A227&lt;&gt;"",""&amp;DATA_KO!B224,"")</f>
        <v/>
      </c>
      <c r="D227" s="273">
        <f>IF(A227&lt;&gt;"",""&amp;DATA_KO!C224,"")</f>
        <v/>
      </c>
      <c r="E227" s="274">
        <f>IF(A227&lt;&gt;"",DATA_KO!G224,"")</f>
        <v/>
      </c>
      <c r="F227" s="273">
        <f>IF(A227&lt;&gt;"",""&amp;DATA_KO!H224,"")</f>
        <v/>
      </c>
      <c r="G227" s="273">
        <f>IF(A227&lt;&gt;"",""&amp;DATA_KO!D224,"")</f>
        <v/>
      </c>
      <c r="H227" s="273">
        <f>IF(A227&lt;&gt;"",""&amp;DATA_KO!E224,"")</f>
        <v/>
      </c>
      <c r="I227" s="273">
        <f>IF(A227&lt;&gt;"",""&amp;DATA_KO!F224,"")</f>
        <v/>
      </c>
      <c r="J227" s="275">
        <f>IF(A227&lt;&gt;"","➔ Inspect Lineage","")</f>
        <v/>
      </c>
    </row>
    <row r="228">
      <c r="A228" s="273">
        <f>IF(DATA_KO!A225&lt;&gt;"",""&amp;DATA_KO!A225,"")</f>
        <v/>
      </c>
      <c r="B228" s="273">
        <f>IF(A228&lt;&gt;"","KO","")</f>
        <v/>
      </c>
      <c r="C228" s="273">
        <f>IF(A228&lt;&gt;"",""&amp;DATA_KO!B225,"")</f>
        <v/>
      </c>
      <c r="D228" s="273">
        <f>IF(A228&lt;&gt;"",""&amp;DATA_KO!C225,"")</f>
        <v/>
      </c>
      <c r="E228" s="274">
        <f>IF(A228&lt;&gt;"",DATA_KO!G225,"")</f>
        <v/>
      </c>
      <c r="F228" s="273">
        <f>IF(A228&lt;&gt;"",""&amp;DATA_KO!H225,"")</f>
        <v/>
      </c>
      <c r="G228" s="273">
        <f>IF(A228&lt;&gt;"",""&amp;DATA_KO!D225,"")</f>
        <v/>
      </c>
      <c r="H228" s="273">
        <f>IF(A228&lt;&gt;"",""&amp;DATA_KO!E225,"")</f>
        <v/>
      </c>
      <c r="I228" s="273">
        <f>IF(A228&lt;&gt;"",""&amp;DATA_KO!F225,"")</f>
        <v/>
      </c>
      <c r="J228" s="275">
        <f>IF(A228&lt;&gt;"","➔ Inspect Lineage","")</f>
        <v/>
      </c>
    </row>
    <row r="229">
      <c r="A229" s="273">
        <f>IF(DATA_KO!A226&lt;&gt;"",""&amp;DATA_KO!A226,"")</f>
        <v/>
      </c>
      <c r="B229" s="273">
        <f>IF(A229&lt;&gt;"","KO","")</f>
        <v/>
      </c>
      <c r="C229" s="273">
        <f>IF(A229&lt;&gt;"",""&amp;DATA_KO!B226,"")</f>
        <v/>
      </c>
      <c r="D229" s="273">
        <f>IF(A229&lt;&gt;"",""&amp;DATA_KO!C226,"")</f>
        <v/>
      </c>
      <c r="E229" s="274">
        <f>IF(A229&lt;&gt;"",DATA_KO!G226,"")</f>
        <v/>
      </c>
      <c r="F229" s="273">
        <f>IF(A229&lt;&gt;"",""&amp;DATA_KO!H226,"")</f>
        <v/>
      </c>
      <c r="G229" s="273">
        <f>IF(A229&lt;&gt;"",""&amp;DATA_KO!D226,"")</f>
        <v/>
      </c>
      <c r="H229" s="273">
        <f>IF(A229&lt;&gt;"",""&amp;DATA_KO!E226,"")</f>
        <v/>
      </c>
      <c r="I229" s="273">
        <f>IF(A229&lt;&gt;"",""&amp;DATA_KO!F226,"")</f>
        <v/>
      </c>
      <c r="J229" s="275">
        <f>IF(A229&lt;&gt;"","➔ Inspect Lineage","")</f>
        <v/>
      </c>
    </row>
    <row r="230">
      <c r="A230" s="273">
        <f>IF(DATA_KO!A227&lt;&gt;"",""&amp;DATA_KO!A227,"")</f>
        <v/>
      </c>
      <c r="B230" s="273">
        <f>IF(A230&lt;&gt;"","KO","")</f>
        <v/>
      </c>
      <c r="C230" s="273">
        <f>IF(A230&lt;&gt;"",""&amp;DATA_KO!B227,"")</f>
        <v/>
      </c>
      <c r="D230" s="273">
        <f>IF(A230&lt;&gt;"",""&amp;DATA_KO!C227,"")</f>
        <v/>
      </c>
      <c r="E230" s="274">
        <f>IF(A230&lt;&gt;"",DATA_KO!G227,"")</f>
        <v/>
      </c>
      <c r="F230" s="273">
        <f>IF(A230&lt;&gt;"",""&amp;DATA_KO!H227,"")</f>
        <v/>
      </c>
      <c r="G230" s="273">
        <f>IF(A230&lt;&gt;"",""&amp;DATA_KO!D227,"")</f>
        <v/>
      </c>
      <c r="H230" s="273">
        <f>IF(A230&lt;&gt;"",""&amp;DATA_KO!E227,"")</f>
        <v/>
      </c>
      <c r="I230" s="273">
        <f>IF(A230&lt;&gt;"",""&amp;DATA_KO!F227,"")</f>
        <v/>
      </c>
      <c r="J230" s="275">
        <f>IF(A230&lt;&gt;"","➔ Inspect Lineage","")</f>
        <v/>
      </c>
    </row>
    <row r="231">
      <c r="A231" s="273">
        <f>IF(DATA_KO!A228&lt;&gt;"",""&amp;DATA_KO!A228,"")</f>
        <v/>
      </c>
      <c r="B231" s="273">
        <f>IF(A231&lt;&gt;"","KO","")</f>
        <v/>
      </c>
      <c r="C231" s="273">
        <f>IF(A231&lt;&gt;"",""&amp;DATA_KO!B228,"")</f>
        <v/>
      </c>
      <c r="D231" s="273">
        <f>IF(A231&lt;&gt;"",""&amp;DATA_KO!C228,"")</f>
        <v/>
      </c>
      <c r="E231" s="274">
        <f>IF(A231&lt;&gt;"",DATA_KO!G228,"")</f>
        <v/>
      </c>
      <c r="F231" s="273">
        <f>IF(A231&lt;&gt;"",""&amp;DATA_KO!H228,"")</f>
        <v/>
      </c>
      <c r="G231" s="273">
        <f>IF(A231&lt;&gt;"",""&amp;DATA_KO!D228,"")</f>
        <v/>
      </c>
      <c r="H231" s="273">
        <f>IF(A231&lt;&gt;"",""&amp;DATA_KO!E228,"")</f>
        <v/>
      </c>
      <c r="I231" s="273">
        <f>IF(A231&lt;&gt;"",""&amp;DATA_KO!F228,"")</f>
        <v/>
      </c>
      <c r="J231" s="275">
        <f>IF(A231&lt;&gt;"","➔ Inspect Lineage","")</f>
        <v/>
      </c>
    </row>
    <row r="232">
      <c r="A232" s="273">
        <f>IF(DATA_KO!A229&lt;&gt;"",""&amp;DATA_KO!A229,"")</f>
        <v/>
      </c>
      <c r="B232" s="273">
        <f>IF(A232&lt;&gt;"","KO","")</f>
        <v/>
      </c>
      <c r="C232" s="273">
        <f>IF(A232&lt;&gt;"",""&amp;DATA_KO!B229,"")</f>
        <v/>
      </c>
      <c r="D232" s="273">
        <f>IF(A232&lt;&gt;"",""&amp;DATA_KO!C229,"")</f>
        <v/>
      </c>
      <c r="E232" s="274">
        <f>IF(A232&lt;&gt;"",DATA_KO!G229,"")</f>
        <v/>
      </c>
      <c r="F232" s="273">
        <f>IF(A232&lt;&gt;"",""&amp;DATA_KO!H229,"")</f>
        <v/>
      </c>
      <c r="G232" s="273">
        <f>IF(A232&lt;&gt;"",""&amp;DATA_KO!D229,"")</f>
        <v/>
      </c>
      <c r="H232" s="273">
        <f>IF(A232&lt;&gt;"",""&amp;DATA_KO!E229,"")</f>
        <v/>
      </c>
      <c r="I232" s="273">
        <f>IF(A232&lt;&gt;"",""&amp;DATA_KO!F229,"")</f>
        <v/>
      </c>
      <c r="J232" s="275">
        <f>IF(A232&lt;&gt;"","➔ Inspect Lineage","")</f>
        <v/>
      </c>
    </row>
    <row r="233">
      <c r="A233" s="273">
        <f>IF(DATA_KO!A230&lt;&gt;"",""&amp;DATA_KO!A230,"")</f>
        <v/>
      </c>
      <c r="B233" s="273">
        <f>IF(A233&lt;&gt;"","KO","")</f>
        <v/>
      </c>
      <c r="C233" s="273">
        <f>IF(A233&lt;&gt;"",""&amp;DATA_KO!B230,"")</f>
        <v/>
      </c>
      <c r="D233" s="273">
        <f>IF(A233&lt;&gt;"",""&amp;DATA_KO!C230,"")</f>
        <v/>
      </c>
      <c r="E233" s="274">
        <f>IF(A233&lt;&gt;"",DATA_KO!G230,"")</f>
        <v/>
      </c>
      <c r="F233" s="273">
        <f>IF(A233&lt;&gt;"",""&amp;DATA_KO!H230,"")</f>
        <v/>
      </c>
      <c r="G233" s="273">
        <f>IF(A233&lt;&gt;"",""&amp;DATA_KO!D230,"")</f>
        <v/>
      </c>
      <c r="H233" s="273">
        <f>IF(A233&lt;&gt;"",""&amp;DATA_KO!E230,"")</f>
        <v/>
      </c>
      <c r="I233" s="273">
        <f>IF(A233&lt;&gt;"",""&amp;DATA_KO!F230,"")</f>
        <v/>
      </c>
      <c r="J233" s="275">
        <f>IF(A233&lt;&gt;"","➔ Inspect Lineage","")</f>
        <v/>
      </c>
    </row>
    <row r="234">
      <c r="A234" s="273">
        <f>IF(DATA_KO!A231&lt;&gt;"",""&amp;DATA_KO!A231,"")</f>
        <v/>
      </c>
      <c r="B234" s="273">
        <f>IF(A234&lt;&gt;"","KO","")</f>
        <v/>
      </c>
      <c r="C234" s="273">
        <f>IF(A234&lt;&gt;"",""&amp;DATA_KO!B231,"")</f>
        <v/>
      </c>
      <c r="D234" s="273">
        <f>IF(A234&lt;&gt;"",""&amp;DATA_KO!C231,"")</f>
        <v/>
      </c>
      <c r="E234" s="274">
        <f>IF(A234&lt;&gt;"",DATA_KO!G231,"")</f>
        <v/>
      </c>
      <c r="F234" s="273">
        <f>IF(A234&lt;&gt;"",""&amp;DATA_KO!H231,"")</f>
        <v/>
      </c>
      <c r="G234" s="273">
        <f>IF(A234&lt;&gt;"",""&amp;DATA_KO!D231,"")</f>
        <v/>
      </c>
      <c r="H234" s="273">
        <f>IF(A234&lt;&gt;"",""&amp;DATA_KO!E231,"")</f>
        <v/>
      </c>
      <c r="I234" s="273">
        <f>IF(A234&lt;&gt;"",""&amp;DATA_KO!F231,"")</f>
        <v/>
      </c>
      <c r="J234" s="275">
        <f>IF(A234&lt;&gt;"","➔ Inspect Lineage","")</f>
        <v/>
      </c>
    </row>
    <row r="235">
      <c r="A235" s="273">
        <f>IF(DATA_KO!A232&lt;&gt;"",""&amp;DATA_KO!A232,"")</f>
        <v/>
      </c>
      <c r="B235" s="273">
        <f>IF(A235&lt;&gt;"","KO","")</f>
        <v/>
      </c>
      <c r="C235" s="273">
        <f>IF(A235&lt;&gt;"",""&amp;DATA_KO!B232,"")</f>
        <v/>
      </c>
      <c r="D235" s="273">
        <f>IF(A235&lt;&gt;"",""&amp;DATA_KO!C232,"")</f>
        <v/>
      </c>
      <c r="E235" s="274">
        <f>IF(A235&lt;&gt;"",DATA_KO!G232,"")</f>
        <v/>
      </c>
      <c r="F235" s="273">
        <f>IF(A235&lt;&gt;"",""&amp;DATA_KO!H232,"")</f>
        <v/>
      </c>
      <c r="G235" s="273">
        <f>IF(A235&lt;&gt;"",""&amp;DATA_KO!D232,"")</f>
        <v/>
      </c>
      <c r="H235" s="273">
        <f>IF(A235&lt;&gt;"",""&amp;DATA_KO!E232,"")</f>
        <v/>
      </c>
      <c r="I235" s="273">
        <f>IF(A235&lt;&gt;"",""&amp;DATA_KO!F232,"")</f>
        <v/>
      </c>
      <c r="J235" s="275">
        <f>IF(A235&lt;&gt;"","➔ Inspect Lineage","")</f>
        <v/>
      </c>
    </row>
    <row r="236">
      <c r="A236" s="273">
        <f>IF(DATA_KO!A233&lt;&gt;"",""&amp;DATA_KO!A233,"")</f>
        <v/>
      </c>
      <c r="B236" s="273">
        <f>IF(A236&lt;&gt;"","KO","")</f>
        <v/>
      </c>
      <c r="C236" s="273">
        <f>IF(A236&lt;&gt;"",""&amp;DATA_KO!B233,"")</f>
        <v/>
      </c>
      <c r="D236" s="273">
        <f>IF(A236&lt;&gt;"",""&amp;DATA_KO!C233,"")</f>
        <v/>
      </c>
      <c r="E236" s="274">
        <f>IF(A236&lt;&gt;"",DATA_KO!G233,"")</f>
        <v/>
      </c>
      <c r="F236" s="273">
        <f>IF(A236&lt;&gt;"",""&amp;DATA_KO!H233,"")</f>
        <v/>
      </c>
      <c r="G236" s="273">
        <f>IF(A236&lt;&gt;"",""&amp;DATA_KO!D233,"")</f>
        <v/>
      </c>
      <c r="H236" s="273">
        <f>IF(A236&lt;&gt;"",""&amp;DATA_KO!E233,"")</f>
        <v/>
      </c>
      <c r="I236" s="273">
        <f>IF(A236&lt;&gt;"",""&amp;DATA_KO!F233,"")</f>
        <v/>
      </c>
      <c r="J236" s="275">
        <f>IF(A236&lt;&gt;"","➔ Inspect Lineage","")</f>
        <v/>
      </c>
    </row>
    <row r="237">
      <c r="A237" s="273">
        <f>IF(DATA_KO!A234&lt;&gt;"",""&amp;DATA_KO!A234,"")</f>
        <v/>
      </c>
      <c r="B237" s="273">
        <f>IF(A237&lt;&gt;"","KO","")</f>
        <v/>
      </c>
      <c r="C237" s="273">
        <f>IF(A237&lt;&gt;"",""&amp;DATA_KO!B234,"")</f>
        <v/>
      </c>
      <c r="D237" s="273">
        <f>IF(A237&lt;&gt;"",""&amp;DATA_KO!C234,"")</f>
        <v/>
      </c>
      <c r="E237" s="274">
        <f>IF(A237&lt;&gt;"",DATA_KO!G234,"")</f>
        <v/>
      </c>
      <c r="F237" s="273">
        <f>IF(A237&lt;&gt;"",""&amp;DATA_KO!H234,"")</f>
        <v/>
      </c>
      <c r="G237" s="273">
        <f>IF(A237&lt;&gt;"",""&amp;DATA_KO!D234,"")</f>
        <v/>
      </c>
      <c r="H237" s="273">
        <f>IF(A237&lt;&gt;"",""&amp;DATA_KO!E234,"")</f>
        <v/>
      </c>
      <c r="I237" s="273">
        <f>IF(A237&lt;&gt;"",""&amp;DATA_KO!F234,"")</f>
        <v/>
      </c>
      <c r="J237" s="275">
        <f>IF(A237&lt;&gt;"","➔ Inspect Lineage","")</f>
        <v/>
      </c>
    </row>
    <row r="238">
      <c r="A238" s="273">
        <f>IF(DATA_KO!A235&lt;&gt;"",""&amp;DATA_KO!A235,"")</f>
        <v/>
      </c>
      <c r="B238" s="273">
        <f>IF(A238&lt;&gt;"","KO","")</f>
        <v/>
      </c>
      <c r="C238" s="273">
        <f>IF(A238&lt;&gt;"",""&amp;DATA_KO!B235,"")</f>
        <v/>
      </c>
      <c r="D238" s="273">
        <f>IF(A238&lt;&gt;"",""&amp;DATA_KO!C235,"")</f>
        <v/>
      </c>
      <c r="E238" s="274">
        <f>IF(A238&lt;&gt;"",DATA_KO!G235,"")</f>
        <v/>
      </c>
      <c r="F238" s="273">
        <f>IF(A238&lt;&gt;"",""&amp;DATA_KO!H235,"")</f>
        <v/>
      </c>
      <c r="G238" s="273">
        <f>IF(A238&lt;&gt;"",""&amp;DATA_KO!D235,"")</f>
        <v/>
      </c>
      <c r="H238" s="273">
        <f>IF(A238&lt;&gt;"",""&amp;DATA_KO!E235,"")</f>
        <v/>
      </c>
      <c r="I238" s="273">
        <f>IF(A238&lt;&gt;"",""&amp;DATA_KO!F235,"")</f>
        <v/>
      </c>
      <c r="J238" s="275">
        <f>IF(A238&lt;&gt;"","➔ Inspect Lineage","")</f>
        <v/>
      </c>
    </row>
    <row r="239">
      <c r="A239" s="273">
        <f>IF(DATA_KO!A236&lt;&gt;"",""&amp;DATA_KO!A236,"")</f>
        <v/>
      </c>
      <c r="B239" s="273">
        <f>IF(A239&lt;&gt;"","KO","")</f>
        <v/>
      </c>
      <c r="C239" s="273">
        <f>IF(A239&lt;&gt;"",""&amp;DATA_KO!B236,"")</f>
        <v/>
      </c>
      <c r="D239" s="273">
        <f>IF(A239&lt;&gt;"",""&amp;DATA_KO!C236,"")</f>
        <v/>
      </c>
      <c r="E239" s="274">
        <f>IF(A239&lt;&gt;"",DATA_KO!G236,"")</f>
        <v/>
      </c>
      <c r="F239" s="273">
        <f>IF(A239&lt;&gt;"",""&amp;DATA_KO!H236,"")</f>
        <v/>
      </c>
      <c r="G239" s="273">
        <f>IF(A239&lt;&gt;"",""&amp;DATA_KO!D236,"")</f>
        <v/>
      </c>
      <c r="H239" s="273">
        <f>IF(A239&lt;&gt;"",""&amp;DATA_KO!E236,"")</f>
        <v/>
      </c>
      <c r="I239" s="273">
        <f>IF(A239&lt;&gt;"",""&amp;DATA_KO!F236,"")</f>
        <v/>
      </c>
      <c r="J239" s="275">
        <f>IF(A239&lt;&gt;"","➔ Inspect Lineage","")</f>
        <v/>
      </c>
    </row>
    <row r="240">
      <c r="A240" s="273">
        <f>IF(DATA_KO!A237&lt;&gt;"",""&amp;DATA_KO!A237,"")</f>
        <v/>
      </c>
      <c r="B240" s="273">
        <f>IF(A240&lt;&gt;"","KO","")</f>
        <v/>
      </c>
      <c r="C240" s="273">
        <f>IF(A240&lt;&gt;"",""&amp;DATA_KO!B237,"")</f>
        <v/>
      </c>
      <c r="D240" s="273">
        <f>IF(A240&lt;&gt;"",""&amp;DATA_KO!C237,"")</f>
        <v/>
      </c>
      <c r="E240" s="274">
        <f>IF(A240&lt;&gt;"",DATA_KO!G237,"")</f>
        <v/>
      </c>
      <c r="F240" s="273">
        <f>IF(A240&lt;&gt;"",""&amp;DATA_KO!H237,"")</f>
        <v/>
      </c>
      <c r="G240" s="273">
        <f>IF(A240&lt;&gt;"",""&amp;DATA_KO!D237,"")</f>
        <v/>
      </c>
      <c r="H240" s="273">
        <f>IF(A240&lt;&gt;"",""&amp;DATA_KO!E237,"")</f>
        <v/>
      </c>
      <c r="I240" s="273">
        <f>IF(A240&lt;&gt;"",""&amp;DATA_KO!F237,"")</f>
        <v/>
      </c>
      <c r="J240" s="275">
        <f>IF(A240&lt;&gt;"","➔ Inspect Lineage","")</f>
        <v/>
      </c>
    </row>
    <row r="241">
      <c r="A241" s="273">
        <f>IF(DATA_KO!A238&lt;&gt;"",""&amp;DATA_KO!A238,"")</f>
        <v/>
      </c>
      <c r="B241" s="273">
        <f>IF(A241&lt;&gt;"","KO","")</f>
        <v/>
      </c>
      <c r="C241" s="273">
        <f>IF(A241&lt;&gt;"",""&amp;DATA_KO!B238,"")</f>
        <v/>
      </c>
      <c r="D241" s="273">
        <f>IF(A241&lt;&gt;"",""&amp;DATA_KO!C238,"")</f>
        <v/>
      </c>
      <c r="E241" s="274">
        <f>IF(A241&lt;&gt;"",DATA_KO!G238,"")</f>
        <v/>
      </c>
      <c r="F241" s="273">
        <f>IF(A241&lt;&gt;"",""&amp;DATA_KO!H238,"")</f>
        <v/>
      </c>
      <c r="G241" s="273">
        <f>IF(A241&lt;&gt;"",""&amp;DATA_KO!D238,"")</f>
        <v/>
      </c>
      <c r="H241" s="273">
        <f>IF(A241&lt;&gt;"",""&amp;DATA_KO!E238,"")</f>
        <v/>
      </c>
      <c r="I241" s="273">
        <f>IF(A241&lt;&gt;"",""&amp;DATA_KO!F238,"")</f>
        <v/>
      </c>
      <c r="J241" s="275">
        <f>IF(A241&lt;&gt;"","➔ Inspect Lineage","")</f>
        <v/>
      </c>
    </row>
    <row r="242">
      <c r="A242" s="273">
        <f>IF(DATA_KO!A239&lt;&gt;"",""&amp;DATA_KO!A239,"")</f>
        <v/>
      </c>
      <c r="B242" s="273">
        <f>IF(A242&lt;&gt;"","KO","")</f>
        <v/>
      </c>
      <c r="C242" s="273">
        <f>IF(A242&lt;&gt;"",""&amp;DATA_KO!B239,"")</f>
        <v/>
      </c>
      <c r="D242" s="273">
        <f>IF(A242&lt;&gt;"",""&amp;DATA_KO!C239,"")</f>
        <v/>
      </c>
      <c r="E242" s="274">
        <f>IF(A242&lt;&gt;"",DATA_KO!G239,"")</f>
        <v/>
      </c>
      <c r="F242" s="273">
        <f>IF(A242&lt;&gt;"",""&amp;DATA_KO!H239,"")</f>
        <v/>
      </c>
      <c r="G242" s="273">
        <f>IF(A242&lt;&gt;"",""&amp;DATA_KO!D239,"")</f>
        <v/>
      </c>
      <c r="H242" s="273">
        <f>IF(A242&lt;&gt;"",""&amp;DATA_KO!E239,"")</f>
        <v/>
      </c>
      <c r="I242" s="273">
        <f>IF(A242&lt;&gt;"",""&amp;DATA_KO!F239,"")</f>
        <v/>
      </c>
      <c r="J242" s="275">
        <f>IF(A242&lt;&gt;"","➔ Inspect Lineage","")</f>
        <v/>
      </c>
    </row>
    <row r="243">
      <c r="A243" s="273">
        <f>IF(DATA_KO!A240&lt;&gt;"",""&amp;DATA_KO!A240,"")</f>
        <v/>
      </c>
      <c r="B243" s="273">
        <f>IF(A243&lt;&gt;"","KO","")</f>
        <v/>
      </c>
      <c r="C243" s="273">
        <f>IF(A243&lt;&gt;"",""&amp;DATA_KO!B240,"")</f>
        <v/>
      </c>
      <c r="D243" s="273">
        <f>IF(A243&lt;&gt;"",""&amp;DATA_KO!C240,"")</f>
        <v/>
      </c>
      <c r="E243" s="274">
        <f>IF(A243&lt;&gt;"",DATA_KO!G240,"")</f>
        <v/>
      </c>
      <c r="F243" s="273">
        <f>IF(A243&lt;&gt;"",""&amp;DATA_KO!H240,"")</f>
        <v/>
      </c>
      <c r="G243" s="273">
        <f>IF(A243&lt;&gt;"",""&amp;DATA_KO!D240,"")</f>
        <v/>
      </c>
      <c r="H243" s="273">
        <f>IF(A243&lt;&gt;"",""&amp;DATA_KO!E240,"")</f>
        <v/>
      </c>
      <c r="I243" s="273">
        <f>IF(A243&lt;&gt;"",""&amp;DATA_KO!F240,"")</f>
        <v/>
      </c>
      <c r="J243" s="275">
        <f>IF(A243&lt;&gt;"","➔ Inspect Lineage","")</f>
        <v/>
      </c>
    </row>
    <row r="244">
      <c r="A244" s="273">
        <f>IF(DATA_KO!A241&lt;&gt;"",""&amp;DATA_KO!A241,"")</f>
        <v/>
      </c>
      <c r="B244" s="273">
        <f>IF(A244&lt;&gt;"","KO","")</f>
        <v/>
      </c>
      <c r="C244" s="273">
        <f>IF(A244&lt;&gt;"",""&amp;DATA_KO!B241,"")</f>
        <v/>
      </c>
      <c r="D244" s="273">
        <f>IF(A244&lt;&gt;"",""&amp;DATA_KO!C241,"")</f>
        <v/>
      </c>
      <c r="E244" s="274">
        <f>IF(A244&lt;&gt;"",DATA_KO!G241,"")</f>
        <v/>
      </c>
      <c r="F244" s="273">
        <f>IF(A244&lt;&gt;"",""&amp;DATA_KO!H241,"")</f>
        <v/>
      </c>
      <c r="G244" s="273">
        <f>IF(A244&lt;&gt;"",""&amp;DATA_KO!D241,"")</f>
        <v/>
      </c>
      <c r="H244" s="273">
        <f>IF(A244&lt;&gt;"",""&amp;DATA_KO!E241,"")</f>
        <v/>
      </c>
      <c r="I244" s="273">
        <f>IF(A244&lt;&gt;"",""&amp;DATA_KO!F241,"")</f>
        <v/>
      </c>
      <c r="J244" s="275">
        <f>IF(A244&lt;&gt;"","➔ Inspect Lineage","")</f>
        <v/>
      </c>
    </row>
    <row r="245">
      <c r="A245" s="273">
        <f>IF(DATA_KO!A242&lt;&gt;"",""&amp;DATA_KO!A242,"")</f>
        <v/>
      </c>
      <c r="B245" s="273">
        <f>IF(A245&lt;&gt;"","KO","")</f>
        <v/>
      </c>
      <c r="C245" s="273">
        <f>IF(A245&lt;&gt;"",""&amp;DATA_KO!B242,"")</f>
        <v/>
      </c>
      <c r="D245" s="273">
        <f>IF(A245&lt;&gt;"",""&amp;DATA_KO!C242,"")</f>
        <v/>
      </c>
      <c r="E245" s="274">
        <f>IF(A245&lt;&gt;"",DATA_KO!G242,"")</f>
        <v/>
      </c>
      <c r="F245" s="273">
        <f>IF(A245&lt;&gt;"",""&amp;DATA_KO!H242,"")</f>
        <v/>
      </c>
      <c r="G245" s="273">
        <f>IF(A245&lt;&gt;"",""&amp;DATA_KO!D242,"")</f>
        <v/>
      </c>
      <c r="H245" s="273">
        <f>IF(A245&lt;&gt;"",""&amp;DATA_KO!E242,"")</f>
        <v/>
      </c>
      <c r="I245" s="273">
        <f>IF(A245&lt;&gt;"",""&amp;DATA_KO!F242,"")</f>
        <v/>
      </c>
      <c r="J245" s="275">
        <f>IF(A245&lt;&gt;"","➔ Inspect Lineage","")</f>
        <v/>
      </c>
    </row>
    <row r="246">
      <c r="A246" s="273">
        <f>IF(DATA_KO!A243&lt;&gt;"",""&amp;DATA_KO!A243,"")</f>
        <v/>
      </c>
      <c r="B246" s="273">
        <f>IF(A246&lt;&gt;"","KO","")</f>
        <v/>
      </c>
      <c r="C246" s="273">
        <f>IF(A246&lt;&gt;"",""&amp;DATA_KO!B243,"")</f>
        <v/>
      </c>
      <c r="D246" s="273">
        <f>IF(A246&lt;&gt;"",""&amp;DATA_KO!C243,"")</f>
        <v/>
      </c>
      <c r="E246" s="274">
        <f>IF(A246&lt;&gt;"",DATA_KO!G243,"")</f>
        <v/>
      </c>
      <c r="F246" s="273">
        <f>IF(A246&lt;&gt;"",""&amp;DATA_KO!H243,"")</f>
        <v/>
      </c>
      <c r="G246" s="273">
        <f>IF(A246&lt;&gt;"",""&amp;DATA_KO!D243,"")</f>
        <v/>
      </c>
      <c r="H246" s="273">
        <f>IF(A246&lt;&gt;"",""&amp;DATA_KO!E243,"")</f>
        <v/>
      </c>
      <c r="I246" s="273">
        <f>IF(A246&lt;&gt;"",""&amp;DATA_KO!F243,"")</f>
        <v/>
      </c>
      <c r="J246" s="275">
        <f>IF(A246&lt;&gt;"","➔ Inspect Lineage","")</f>
        <v/>
      </c>
    </row>
    <row r="247">
      <c r="A247" s="273">
        <f>IF(DATA_KO!A244&lt;&gt;"",""&amp;DATA_KO!A244,"")</f>
        <v/>
      </c>
      <c r="B247" s="273">
        <f>IF(A247&lt;&gt;"","KO","")</f>
        <v/>
      </c>
      <c r="C247" s="273">
        <f>IF(A247&lt;&gt;"",""&amp;DATA_KO!B244,"")</f>
        <v/>
      </c>
      <c r="D247" s="273">
        <f>IF(A247&lt;&gt;"",""&amp;DATA_KO!C244,"")</f>
        <v/>
      </c>
      <c r="E247" s="274">
        <f>IF(A247&lt;&gt;"",DATA_KO!G244,"")</f>
        <v/>
      </c>
      <c r="F247" s="273">
        <f>IF(A247&lt;&gt;"",""&amp;DATA_KO!H244,"")</f>
        <v/>
      </c>
      <c r="G247" s="273">
        <f>IF(A247&lt;&gt;"",""&amp;DATA_KO!D244,"")</f>
        <v/>
      </c>
      <c r="H247" s="273">
        <f>IF(A247&lt;&gt;"",""&amp;DATA_KO!E244,"")</f>
        <v/>
      </c>
      <c r="I247" s="273">
        <f>IF(A247&lt;&gt;"",""&amp;DATA_KO!F244,"")</f>
        <v/>
      </c>
      <c r="J247" s="275">
        <f>IF(A247&lt;&gt;"","➔ Inspect Lineage","")</f>
        <v/>
      </c>
    </row>
    <row r="248">
      <c r="A248" s="273">
        <f>IF(DATA_KO!A245&lt;&gt;"",""&amp;DATA_KO!A245,"")</f>
        <v/>
      </c>
      <c r="B248" s="273">
        <f>IF(A248&lt;&gt;"","KO","")</f>
        <v/>
      </c>
      <c r="C248" s="273">
        <f>IF(A248&lt;&gt;"",""&amp;DATA_KO!B245,"")</f>
        <v/>
      </c>
      <c r="D248" s="273">
        <f>IF(A248&lt;&gt;"",""&amp;DATA_KO!C245,"")</f>
        <v/>
      </c>
      <c r="E248" s="274">
        <f>IF(A248&lt;&gt;"",DATA_KO!G245,"")</f>
        <v/>
      </c>
      <c r="F248" s="273">
        <f>IF(A248&lt;&gt;"",""&amp;DATA_KO!H245,"")</f>
        <v/>
      </c>
      <c r="G248" s="273">
        <f>IF(A248&lt;&gt;"",""&amp;DATA_KO!D245,"")</f>
        <v/>
      </c>
      <c r="H248" s="273">
        <f>IF(A248&lt;&gt;"",""&amp;DATA_KO!E245,"")</f>
        <v/>
      </c>
      <c r="I248" s="273">
        <f>IF(A248&lt;&gt;"",""&amp;DATA_KO!F245,"")</f>
        <v/>
      </c>
      <c r="J248" s="275">
        <f>IF(A248&lt;&gt;"","➔ Inspect Lineage","")</f>
        <v/>
      </c>
    </row>
    <row r="249">
      <c r="A249" s="273">
        <f>IF(DATA_KO!A246&lt;&gt;"",""&amp;DATA_KO!A246,"")</f>
        <v/>
      </c>
      <c r="B249" s="273">
        <f>IF(A249&lt;&gt;"","KO","")</f>
        <v/>
      </c>
      <c r="C249" s="273">
        <f>IF(A249&lt;&gt;"",""&amp;DATA_KO!B246,"")</f>
        <v/>
      </c>
      <c r="D249" s="273">
        <f>IF(A249&lt;&gt;"",""&amp;DATA_KO!C246,"")</f>
        <v/>
      </c>
      <c r="E249" s="274">
        <f>IF(A249&lt;&gt;"",DATA_KO!G246,"")</f>
        <v/>
      </c>
      <c r="F249" s="273">
        <f>IF(A249&lt;&gt;"",""&amp;DATA_KO!H246,"")</f>
        <v/>
      </c>
      <c r="G249" s="273">
        <f>IF(A249&lt;&gt;"",""&amp;DATA_KO!D246,"")</f>
        <v/>
      </c>
      <c r="H249" s="273">
        <f>IF(A249&lt;&gt;"",""&amp;DATA_KO!E246,"")</f>
        <v/>
      </c>
      <c r="I249" s="273">
        <f>IF(A249&lt;&gt;"",""&amp;DATA_KO!F246,"")</f>
        <v/>
      </c>
      <c r="J249" s="275">
        <f>IF(A249&lt;&gt;"","➔ Inspect Lineage","")</f>
        <v/>
      </c>
    </row>
    <row r="250">
      <c r="A250" s="273">
        <f>IF(DATA_KO!A247&lt;&gt;"",""&amp;DATA_KO!A247,"")</f>
        <v/>
      </c>
      <c r="B250" s="273">
        <f>IF(A250&lt;&gt;"","KO","")</f>
        <v/>
      </c>
      <c r="C250" s="273">
        <f>IF(A250&lt;&gt;"",""&amp;DATA_KO!B247,"")</f>
        <v/>
      </c>
      <c r="D250" s="273">
        <f>IF(A250&lt;&gt;"",""&amp;DATA_KO!C247,"")</f>
        <v/>
      </c>
      <c r="E250" s="274">
        <f>IF(A250&lt;&gt;"",DATA_KO!G247,"")</f>
        <v/>
      </c>
      <c r="F250" s="273">
        <f>IF(A250&lt;&gt;"",""&amp;DATA_KO!H247,"")</f>
        <v/>
      </c>
      <c r="G250" s="273">
        <f>IF(A250&lt;&gt;"",""&amp;DATA_KO!D247,"")</f>
        <v/>
      </c>
      <c r="H250" s="273">
        <f>IF(A250&lt;&gt;"",""&amp;DATA_KO!E247,"")</f>
        <v/>
      </c>
      <c r="I250" s="273">
        <f>IF(A250&lt;&gt;"",""&amp;DATA_KO!F247,"")</f>
        <v/>
      </c>
      <c r="J250" s="275">
        <f>IF(A250&lt;&gt;"","➔ Inspect Lineage","")</f>
        <v/>
      </c>
    </row>
    <row r="251">
      <c r="A251" s="273">
        <f>IF(DATA_KO!A248&lt;&gt;"",""&amp;DATA_KO!A248,"")</f>
        <v/>
      </c>
      <c r="B251" s="273">
        <f>IF(A251&lt;&gt;"","KO","")</f>
        <v/>
      </c>
      <c r="C251" s="273">
        <f>IF(A251&lt;&gt;"",""&amp;DATA_KO!B248,"")</f>
        <v/>
      </c>
      <c r="D251" s="273">
        <f>IF(A251&lt;&gt;"",""&amp;DATA_KO!C248,"")</f>
        <v/>
      </c>
      <c r="E251" s="274">
        <f>IF(A251&lt;&gt;"",DATA_KO!G248,"")</f>
        <v/>
      </c>
      <c r="F251" s="273">
        <f>IF(A251&lt;&gt;"",""&amp;DATA_KO!H248,"")</f>
        <v/>
      </c>
      <c r="G251" s="273">
        <f>IF(A251&lt;&gt;"",""&amp;DATA_KO!D248,"")</f>
        <v/>
      </c>
      <c r="H251" s="273">
        <f>IF(A251&lt;&gt;"",""&amp;DATA_KO!E248,"")</f>
        <v/>
      </c>
      <c r="I251" s="273">
        <f>IF(A251&lt;&gt;"",""&amp;DATA_KO!F248,"")</f>
        <v/>
      </c>
      <c r="J251" s="275">
        <f>IF(A251&lt;&gt;"","➔ Inspect Lineage","")</f>
        <v/>
      </c>
    </row>
    <row r="252">
      <c r="A252" s="273">
        <f>IF(DATA_KO!A249&lt;&gt;"",""&amp;DATA_KO!A249,"")</f>
        <v/>
      </c>
      <c r="B252" s="273">
        <f>IF(A252&lt;&gt;"","KO","")</f>
        <v/>
      </c>
      <c r="C252" s="273">
        <f>IF(A252&lt;&gt;"",""&amp;DATA_KO!B249,"")</f>
        <v/>
      </c>
      <c r="D252" s="273">
        <f>IF(A252&lt;&gt;"",""&amp;DATA_KO!C249,"")</f>
        <v/>
      </c>
      <c r="E252" s="274">
        <f>IF(A252&lt;&gt;"",DATA_KO!G249,"")</f>
        <v/>
      </c>
      <c r="F252" s="273">
        <f>IF(A252&lt;&gt;"",""&amp;DATA_KO!H249,"")</f>
        <v/>
      </c>
      <c r="G252" s="273">
        <f>IF(A252&lt;&gt;"",""&amp;DATA_KO!D249,"")</f>
        <v/>
      </c>
      <c r="H252" s="273">
        <f>IF(A252&lt;&gt;"",""&amp;DATA_KO!E249,"")</f>
        <v/>
      </c>
      <c r="I252" s="273">
        <f>IF(A252&lt;&gt;"",""&amp;DATA_KO!F249,"")</f>
        <v/>
      </c>
      <c r="J252" s="275">
        <f>IF(A252&lt;&gt;"","➔ Inspect Lineage","")</f>
        <v/>
      </c>
    </row>
    <row r="253">
      <c r="A253" s="273">
        <f>IF(DATA_KO!A250&lt;&gt;"",""&amp;DATA_KO!A250,"")</f>
        <v/>
      </c>
      <c r="B253" s="273">
        <f>IF(A253&lt;&gt;"","KO","")</f>
        <v/>
      </c>
      <c r="C253" s="273">
        <f>IF(A253&lt;&gt;"",""&amp;DATA_KO!B250,"")</f>
        <v/>
      </c>
      <c r="D253" s="273">
        <f>IF(A253&lt;&gt;"",""&amp;DATA_KO!C250,"")</f>
        <v/>
      </c>
      <c r="E253" s="274">
        <f>IF(A253&lt;&gt;"",DATA_KO!G250,"")</f>
        <v/>
      </c>
      <c r="F253" s="273">
        <f>IF(A253&lt;&gt;"",""&amp;DATA_KO!H250,"")</f>
        <v/>
      </c>
      <c r="G253" s="273">
        <f>IF(A253&lt;&gt;"",""&amp;DATA_KO!D250,"")</f>
        <v/>
      </c>
      <c r="H253" s="273">
        <f>IF(A253&lt;&gt;"",""&amp;DATA_KO!E250,"")</f>
        <v/>
      </c>
      <c r="I253" s="273">
        <f>IF(A253&lt;&gt;"",""&amp;DATA_KO!F250,"")</f>
        <v/>
      </c>
      <c r="J253" s="275">
        <f>IF(A253&lt;&gt;"","➔ Inspect Lineage","")</f>
        <v/>
      </c>
    </row>
    <row r="254">
      <c r="A254" s="273">
        <f>IF(DATA_KO!A251&lt;&gt;"",""&amp;DATA_KO!A251,"")</f>
        <v/>
      </c>
      <c r="B254" s="273">
        <f>IF(A254&lt;&gt;"","KO","")</f>
        <v/>
      </c>
      <c r="C254" s="273">
        <f>IF(A254&lt;&gt;"",""&amp;DATA_KO!B251,"")</f>
        <v/>
      </c>
      <c r="D254" s="273">
        <f>IF(A254&lt;&gt;"",""&amp;DATA_KO!C251,"")</f>
        <v/>
      </c>
      <c r="E254" s="274">
        <f>IF(A254&lt;&gt;"",DATA_KO!G251,"")</f>
        <v/>
      </c>
      <c r="F254" s="273">
        <f>IF(A254&lt;&gt;"",""&amp;DATA_KO!H251,"")</f>
        <v/>
      </c>
      <c r="G254" s="273">
        <f>IF(A254&lt;&gt;"",""&amp;DATA_KO!D251,"")</f>
        <v/>
      </c>
      <c r="H254" s="273">
        <f>IF(A254&lt;&gt;"",""&amp;DATA_KO!E251,"")</f>
        <v/>
      </c>
      <c r="I254" s="273">
        <f>IF(A254&lt;&gt;"",""&amp;DATA_KO!F251,"")</f>
        <v/>
      </c>
      <c r="J254" s="275">
        <f>IF(A254&lt;&gt;"","➔ Inspect Lineage","")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35" customWidth="1" style="132" min="1" max="1"/>
    <col width="12" customWidth="1" style="132" min="2" max="2"/>
    <col width="50" customWidth="1" style="132" min="3" max="3"/>
    <col width="55" customWidth="1" style="132" min="4" max="4"/>
    <col width="45" customWidth="1" style="132" min="5" max="5"/>
    <col width="14" customWidth="1" style="132" min="6" max="6"/>
    <col width="35" customWidth="1" style="132" min="7" max="7"/>
    <col width="16" customWidth="1" style="132" min="8" max="8"/>
  </cols>
  <sheetData>
    <row r="1">
      <c r="A1" s="276" t="inlineStr">
        <is>
          <t>RESEARCH INTELLIGENCE ENGINE (RIE) — INTERPRETATION OBJECT (IO) REGISTRY</t>
        </is>
      </c>
      <c r="F1" s="277">
        <f>HYPERLINK("#'01_Executive_Dashboard'!A1", "⮌ BACK TO DASHBOARD")</f>
        <v/>
      </c>
      <c r="G1" s="277">
        <f>HYPERLINK("#'02A_KO_Registry'!A1", "➔ KO REGISTRY")</f>
        <v/>
      </c>
      <c r="H1" s="277">
        <f>HYPERLINK("#'02C_EO_Registry'!A1", "➔ EO REGISTRY")</f>
        <v/>
      </c>
    </row>
    <row r="2">
      <c r="A2" s="261">
        <f>"Authoritative Interpretation Objects (" &amp; COUNTA(DATA_IO!A2:A1000) &amp; " IOs) | Substrate Dynamic Projection"</f>
        <v/>
      </c>
    </row>
    <row r="3"/>
    <row r="4" ht="24" customHeight="1" s="132">
      <c r="A4" s="278" t="inlineStr">
        <is>
          <t>Object_ID</t>
        </is>
      </c>
      <c r="B4" s="278" t="inlineStr">
        <is>
          <t>Object_Type</t>
        </is>
      </c>
      <c r="C4" s="278" t="inlineStr">
        <is>
          <t>Research Question</t>
        </is>
      </c>
      <c r="D4" s="278" t="inlineStr">
        <is>
          <t>Primary Interpretation</t>
        </is>
      </c>
      <c r="E4" s="278" t="inlineStr">
        <is>
          <t>Alternative Interpretation</t>
        </is>
      </c>
      <c r="F4" s="278" t="inlineStr">
        <is>
          <t>Confidence</t>
        </is>
      </c>
      <c r="G4" s="278" t="inlineStr">
        <is>
          <t>Supporting EO</t>
        </is>
      </c>
      <c r="H4" s="278" t="inlineStr">
        <is>
          <t>Workflow Status</t>
        </is>
      </c>
    </row>
    <row r="5">
      <c r="A5" s="273">
        <f>IF(DATA_IO!A2&lt;&gt;"",""&amp;DATA_IO!A2,"")</f>
        <v/>
      </c>
      <c r="B5" s="273">
        <f>IF(A5&lt;&gt;"","IO","")</f>
        <v/>
      </c>
      <c r="C5" s="273">
        <f>IF(A5&lt;&gt;"",""&amp;DATA_IO!B2,"")</f>
        <v/>
      </c>
      <c r="D5" s="273">
        <f>IF(A5&lt;&gt;"",""&amp;DATA_IO!C2,"")</f>
        <v/>
      </c>
      <c r="E5" s="273">
        <f>IF(A5&lt;&gt;"",""&amp;DATA_IO!D2,"")</f>
        <v/>
      </c>
      <c r="F5" s="274">
        <f>IF(A5&lt;&gt;"",DATA_IO!G2,"")</f>
        <v/>
      </c>
      <c r="G5" s="273">
        <f>IF(A5&lt;&gt;"",""&amp;DATA_IO!E2,"")</f>
        <v/>
      </c>
      <c r="H5" s="273">
        <f>IF(A5&lt;&gt;"","DERIVED","")</f>
        <v/>
      </c>
    </row>
    <row r="6">
      <c r="A6" s="273">
        <f>IF(DATA_IO!A3&lt;&gt;"",""&amp;DATA_IO!A3,"")</f>
        <v/>
      </c>
      <c r="B6" s="273">
        <f>IF(A6&lt;&gt;"","IO","")</f>
        <v/>
      </c>
      <c r="C6" s="273">
        <f>IF(A6&lt;&gt;"",""&amp;DATA_IO!B3,"")</f>
        <v/>
      </c>
      <c r="D6" s="273">
        <f>IF(A6&lt;&gt;"",""&amp;DATA_IO!C3,"")</f>
        <v/>
      </c>
      <c r="E6" s="273">
        <f>IF(A6&lt;&gt;"",""&amp;DATA_IO!D3,"")</f>
        <v/>
      </c>
      <c r="F6" s="274">
        <f>IF(A6&lt;&gt;"",DATA_IO!G3,"")</f>
        <v/>
      </c>
      <c r="G6" s="273">
        <f>IF(A6&lt;&gt;"",""&amp;DATA_IO!E3,"")</f>
        <v/>
      </c>
      <c r="H6" s="273">
        <f>IF(A6&lt;&gt;"","DERIVED","")</f>
        <v/>
      </c>
    </row>
    <row r="7">
      <c r="A7" s="273">
        <f>IF(DATA_IO!A4&lt;&gt;"",""&amp;DATA_IO!A4,"")</f>
        <v/>
      </c>
      <c r="B7" s="273">
        <f>IF(A7&lt;&gt;"","IO","")</f>
        <v/>
      </c>
      <c r="C7" s="273">
        <f>IF(A7&lt;&gt;"",""&amp;DATA_IO!B4,"")</f>
        <v/>
      </c>
      <c r="D7" s="273">
        <f>IF(A7&lt;&gt;"",""&amp;DATA_IO!C4,"")</f>
        <v/>
      </c>
      <c r="E7" s="273">
        <f>IF(A7&lt;&gt;"",""&amp;DATA_IO!D4,"")</f>
        <v/>
      </c>
      <c r="F7" s="274">
        <f>IF(A7&lt;&gt;"",DATA_IO!G4,"")</f>
        <v/>
      </c>
      <c r="G7" s="273">
        <f>IF(A7&lt;&gt;"",""&amp;DATA_IO!E4,"")</f>
        <v/>
      </c>
      <c r="H7" s="273">
        <f>IF(A7&lt;&gt;"","DERIVED","")</f>
        <v/>
      </c>
    </row>
    <row r="8">
      <c r="A8" s="273">
        <f>IF(DATA_IO!A5&lt;&gt;"",""&amp;DATA_IO!A5,"")</f>
        <v/>
      </c>
      <c r="B8" s="273">
        <f>IF(A8&lt;&gt;"","IO","")</f>
        <v/>
      </c>
      <c r="C8" s="273">
        <f>IF(A8&lt;&gt;"",""&amp;DATA_IO!B5,"")</f>
        <v/>
      </c>
      <c r="D8" s="273">
        <f>IF(A8&lt;&gt;"",""&amp;DATA_IO!C5,"")</f>
        <v/>
      </c>
      <c r="E8" s="273">
        <f>IF(A8&lt;&gt;"",""&amp;DATA_IO!D5,"")</f>
        <v/>
      </c>
      <c r="F8" s="274">
        <f>IF(A8&lt;&gt;"",DATA_IO!G5,"")</f>
        <v/>
      </c>
      <c r="G8" s="273">
        <f>IF(A8&lt;&gt;"",""&amp;DATA_IO!E5,"")</f>
        <v/>
      </c>
      <c r="H8" s="273">
        <f>IF(A8&lt;&gt;"","DERIVED","")</f>
        <v/>
      </c>
    </row>
    <row r="9">
      <c r="A9" s="273">
        <f>IF(DATA_IO!A6&lt;&gt;"",""&amp;DATA_IO!A6,"")</f>
        <v/>
      </c>
      <c r="B9" s="273">
        <f>IF(A9&lt;&gt;"","IO","")</f>
        <v/>
      </c>
      <c r="C9" s="273">
        <f>IF(A9&lt;&gt;"",""&amp;DATA_IO!B6,"")</f>
        <v/>
      </c>
      <c r="D9" s="273">
        <f>IF(A9&lt;&gt;"",""&amp;DATA_IO!C6,"")</f>
        <v/>
      </c>
      <c r="E9" s="273">
        <f>IF(A9&lt;&gt;"",""&amp;DATA_IO!D6,"")</f>
        <v/>
      </c>
      <c r="F9" s="274">
        <f>IF(A9&lt;&gt;"",DATA_IO!G6,"")</f>
        <v/>
      </c>
      <c r="G9" s="273">
        <f>IF(A9&lt;&gt;"",""&amp;DATA_IO!E6,"")</f>
        <v/>
      </c>
      <c r="H9" s="273">
        <f>IF(A9&lt;&gt;"","DERIVED","")</f>
        <v/>
      </c>
    </row>
    <row r="10">
      <c r="A10" s="273">
        <f>IF(DATA_IO!A7&lt;&gt;"",""&amp;DATA_IO!A7,"")</f>
        <v/>
      </c>
      <c r="B10" s="273">
        <f>IF(A10&lt;&gt;"","IO","")</f>
        <v/>
      </c>
      <c r="C10" s="273">
        <f>IF(A10&lt;&gt;"",""&amp;DATA_IO!B7,"")</f>
        <v/>
      </c>
      <c r="D10" s="273">
        <f>IF(A10&lt;&gt;"",""&amp;DATA_IO!C7,"")</f>
        <v/>
      </c>
      <c r="E10" s="273">
        <f>IF(A10&lt;&gt;"",""&amp;DATA_IO!D7,"")</f>
        <v/>
      </c>
      <c r="F10" s="274">
        <f>IF(A10&lt;&gt;"",DATA_IO!G7,"")</f>
        <v/>
      </c>
      <c r="G10" s="273">
        <f>IF(A10&lt;&gt;"",""&amp;DATA_IO!E7,"")</f>
        <v/>
      </c>
      <c r="H10" s="273">
        <f>IF(A10&lt;&gt;"","DERIVED","")</f>
        <v/>
      </c>
    </row>
    <row r="11">
      <c r="A11" s="273">
        <f>IF(DATA_IO!A8&lt;&gt;"",""&amp;DATA_IO!A8,"")</f>
        <v/>
      </c>
      <c r="B11" s="273">
        <f>IF(A11&lt;&gt;"","IO","")</f>
        <v/>
      </c>
      <c r="C11" s="273">
        <f>IF(A11&lt;&gt;"",""&amp;DATA_IO!B8,"")</f>
        <v/>
      </c>
      <c r="D11" s="273">
        <f>IF(A11&lt;&gt;"",""&amp;DATA_IO!C8,"")</f>
        <v/>
      </c>
      <c r="E11" s="273">
        <f>IF(A11&lt;&gt;"",""&amp;DATA_IO!D8,"")</f>
        <v/>
      </c>
      <c r="F11" s="274">
        <f>IF(A11&lt;&gt;"",DATA_IO!G8,"")</f>
        <v/>
      </c>
      <c r="G11" s="273">
        <f>IF(A11&lt;&gt;"",""&amp;DATA_IO!E8,"")</f>
        <v/>
      </c>
      <c r="H11" s="273">
        <f>IF(A11&lt;&gt;"","DERIVED","")</f>
        <v/>
      </c>
    </row>
    <row r="12">
      <c r="A12" s="273">
        <f>IF(DATA_IO!A9&lt;&gt;"",""&amp;DATA_IO!A9,"")</f>
        <v/>
      </c>
      <c r="B12" s="273">
        <f>IF(A12&lt;&gt;"","IO","")</f>
        <v/>
      </c>
      <c r="C12" s="273">
        <f>IF(A12&lt;&gt;"",""&amp;DATA_IO!B9,"")</f>
        <v/>
      </c>
      <c r="D12" s="273">
        <f>IF(A12&lt;&gt;"",""&amp;DATA_IO!C9,"")</f>
        <v/>
      </c>
      <c r="E12" s="273">
        <f>IF(A12&lt;&gt;"",""&amp;DATA_IO!D9,"")</f>
        <v/>
      </c>
      <c r="F12" s="274">
        <f>IF(A12&lt;&gt;"",DATA_IO!G9,"")</f>
        <v/>
      </c>
      <c r="G12" s="273">
        <f>IF(A12&lt;&gt;"",""&amp;DATA_IO!E9,"")</f>
        <v/>
      </c>
      <c r="H12" s="273">
        <f>IF(A12&lt;&gt;"","DERIVED","")</f>
        <v/>
      </c>
    </row>
    <row r="13">
      <c r="A13" s="273">
        <f>IF(DATA_IO!A10&lt;&gt;"",""&amp;DATA_IO!A10,"")</f>
        <v/>
      </c>
      <c r="B13" s="273">
        <f>IF(A13&lt;&gt;"","IO","")</f>
        <v/>
      </c>
      <c r="C13" s="273">
        <f>IF(A13&lt;&gt;"",""&amp;DATA_IO!B10,"")</f>
        <v/>
      </c>
      <c r="D13" s="273">
        <f>IF(A13&lt;&gt;"",""&amp;DATA_IO!C10,"")</f>
        <v/>
      </c>
      <c r="E13" s="273">
        <f>IF(A13&lt;&gt;"",""&amp;DATA_IO!D10,"")</f>
        <v/>
      </c>
      <c r="F13" s="274">
        <f>IF(A13&lt;&gt;"",DATA_IO!G10,"")</f>
        <v/>
      </c>
      <c r="G13" s="273">
        <f>IF(A13&lt;&gt;"",""&amp;DATA_IO!E10,"")</f>
        <v/>
      </c>
      <c r="H13" s="273">
        <f>IF(A13&lt;&gt;"","DERIVED","")</f>
        <v/>
      </c>
    </row>
    <row r="14">
      <c r="A14" s="273">
        <f>IF(DATA_IO!A11&lt;&gt;"",""&amp;DATA_IO!A11,"")</f>
        <v/>
      </c>
      <c r="B14" s="273">
        <f>IF(A14&lt;&gt;"","IO","")</f>
        <v/>
      </c>
      <c r="C14" s="273">
        <f>IF(A14&lt;&gt;"",""&amp;DATA_IO!B11,"")</f>
        <v/>
      </c>
      <c r="D14" s="273">
        <f>IF(A14&lt;&gt;"",""&amp;DATA_IO!C11,"")</f>
        <v/>
      </c>
      <c r="E14" s="273">
        <f>IF(A14&lt;&gt;"",""&amp;DATA_IO!D11,"")</f>
        <v/>
      </c>
      <c r="F14" s="274">
        <f>IF(A14&lt;&gt;"",DATA_IO!G11,"")</f>
        <v/>
      </c>
      <c r="G14" s="273">
        <f>IF(A14&lt;&gt;"",""&amp;DATA_IO!E11,"")</f>
        <v/>
      </c>
      <c r="H14" s="273">
        <f>IF(A14&lt;&gt;"","DERIVED","")</f>
        <v/>
      </c>
    </row>
    <row r="15">
      <c r="A15" s="273">
        <f>IF(DATA_IO!A12&lt;&gt;"",""&amp;DATA_IO!A12,"")</f>
        <v/>
      </c>
      <c r="B15" s="273">
        <f>IF(A15&lt;&gt;"","IO","")</f>
        <v/>
      </c>
      <c r="C15" s="273">
        <f>IF(A15&lt;&gt;"",""&amp;DATA_IO!B12,"")</f>
        <v/>
      </c>
      <c r="D15" s="273">
        <f>IF(A15&lt;&gt;"",""&amp;DATA_IO!C12,"")</f>
        <v/>
      </c>
      <c r="E15" s="273">
        <f>IF(A15&lt;&gt;"",""&amp;DATA_IO!D12,"")</f>
        <v/>
      </c>
      <c r="F15" s="274">
        <f>IF(A15&lt;&gt;"",DATA_IO!G12,"")</f>
        <v/>
      </c>
      <c r="G15" s="273">
        <f>IF(A15&lt;&gt;"",""&amp;DATA_IO!E12,"")</f>
        <v/>
      </c>
      <c r="H15" s="273">
        <f>IF(A15&lt;&gt;"","DERIVED","")</f>
        <v/>
      </c>
    </row>
    <row r="16">
      <c r="A16" s="273">
        <f>IF(DATA_IO!A13&lt;&gt;"",""&amp;DATA_IO!A13,"")</f>
        <v/>
      </c>
      <c r="B16" s="273">
        <f>IF(A16&lt;&gt;"","IO","")</f>
        <v/>
      </c>
      <c r="C16" s="273">
        <f>IF(A16&lt;&gt;"",""&amp;DATA_IO!B13,"")</f>
        <v/>
      </c>
      <c r="D16" s="273">
        <f>IF(A16&lt;&gt;"",""&amp;DATA_IO!C13,"")</f>
        <v/>
      </c>
      <c r="E16" s="273">
        <f>IF(A16&lt;&gt;"",""&amp;DATA_IO!D13,"")</f>
        <v/>
      </c>
      <c r="F16" s="274">
        <f>IF(A16&lt;&gt;"",DATA_IO!G13,"")</f>
        <v/>
      </c>
      <c r="G16" s="273">
        <f>IF(A16&lt;&gt;"",""&amp;DATA_IO!E13,"")</f>
        <v/>
      </c>
      <c r="H16" s="273">
        <f>IF(A16&lt;&gt;"","DERIVED","")</f>
        <v/>
      </c>
    </row>
    <row r="17">
      <c r="A17" s="273">
        <f>IF(DATA_IO!A14&lt;&gt;"",""&amp;DATA_IO!A14,"")</f>
        <v/>
      </c>
      <c r="B17" s="273">
        <f>IF(A17&lt;&gt;"","IO","")</f>
        <v/>
      </c>
      <c r="C17" s="273">
        <f>IF(A17&lt;&gt;"",""&amp;DATA_IO!B14,"")</f>
        <v/>
      </c>
      <c r="D17" s="273">
        <f>IF(A17&lt;&gt;"",""&amp;DATA_IO!C14,"")</f>
        <v/>
      </c>
      <c r="E17" s="273">
        <f>IF(A17&lt;&gt;"",""&amp;DATA_IO!D14,"")</f>
        <v/>
      </c>
      <c r="F17" s="274">
        <f>IF(A17&lt;&gt;"",DATA_IO!G14,"")</f>
        <v/>
      </c>
      <c r="G17" s="273">
        <f>IF(A17&lt;&gt;"",""&amp;DATA_IO!E14,"")</f>
        <v/>
      </c>
      <c r="H17" s="273">
        <f>IF(A17&lt;&gt;"","DERIVED","")</f>
        <v/>
      </c>
    </row>
    <row r="18">
      <c r="A18" s="273">
        <f>IF(DATA_IO!A15&lt;&gt;"",""&amp;DATA_IO!A15,"")</f>
        <v/>
      </c>
      <c r="B18" s="273">
        <f>IF(A18&lt;&gt;"","IO","")</f>
        <v/>
      </c>
      <c r="C18" s="273">
        <f>IF(A18&lt;&gt;"",""&amp;DATA_IO!B15,"")</f>
        <v/>
      </c>
      <c r="D18" s="273">
        <f>IF(A18&lt;&gt;"",""&amp;DATA_IO!C15,"")</f>
        <v/>
      </c>
      <c r="E18" s="273">
        <f>IF(A18&lt;&gt;"",""&amp;DATA_IO!D15,"")</f>
        <v/>
      </c>
      <c r="F18" s="274">
        <f>IF(A18&lt;&gt;"",DATA_IO!G15,"")</f>
        <v/>
      </c>
      <c r="G18" s="273">
        <f>IF(A18&lt;&gt;"",""&amp;DATA_IO!E15,"")</f>
        <v/>
      </c>
      <c r="H18" s="273">
        <f>IF(A18&lt;&gt;"","DERIVED","")</f>
        <v/>
      </c>
    </row>
    <row r="19">
      <c r="A19" s="273">
        <f>IF(DATA_IO!A16&lt;&gt;"",""&amp;DATA_IO!A16,"")</f>
        <v/>
      </c>
      <c r="B19" s="273">
        <f>IF(A19&lt;&gt;"","IO","")</f>
        <v/>
      </c>
      <c r="C19" s="273">
        <f>IF(A19&lt;&gt;"",""&amp;DATA_IO!B16,"")</f>
        <v/>
      </c>
      <c r="D19" s="273">
        <f>IF(A19&lt;&gt;"",""&amp;DATA_IO!C16,"")</f>
        <v/>
      </c>
      <c r="E19" s="273">
        <f>IF(A19&lt;&gt;"",""&amp;DATA_IO!D16,"")</f>
        <v/>
      </c>
      <c r="F19" s="274">
        <f>IF(A19&lt;&gt;"",DATA_IO!G16,"")</f>
        <v/>
      </c>
      <c r="G19" s="273">
        <f>IF(A19&lt;&gt;"",""&amp;DATA_IO!E16,"")</f>
        <v/>
      </c>
      <c r="H19" s="273">
        <f>IF(A19&lt;&gt;"","DERIVED","")</f>
        <v/>
      </c>
    </row>
    <row r="20">
      <c r="A20" s="273">
        <f>IF(DATA_IO!A17&lt;&gt;"",""&amp;DATA_IO!A17,"")</f>
        <v/>
      </c>
      <c r="B20" s="273">
        <f>IF(A20&lt;&gt;"","IO","")</f>
        <v/>
      </c>
      <c r="C20" s="273">
        <f>IF(A20&lt;&gt;"",""&amp;DATA_IO!B17,"")</f>
        <v/>
      </c>
      <c r="D20" s="273">
        <f>IF(A20&lt;&gt;"",""&amp;DATA_IO!C17,"")</f>
        <v/>
      </c>
      <c r="E20" s="273">
        <f>IF(A20&lt;&gt;"",""&amp;DATA_IO!D17,"")</f>
        <v/>
      </c>
      <c r="F20" s="274">
        <f>IF(A20&lt;&gt;"",DATA_IO!G17,"")</f>
        <v/>
      </c>
      <c r="G20" s="273">
        <f>IF(A20&lt;&gt;"",""&amp;DATA_IO!E17,"")</f>
        <v/>
      </c>
      <c r="H20" s="273">
        <f>IF(A20&lt;&gt;"","DERIVED","")</f>
        <v/>
      </c>
    </row>
    <row r="21">
      <c r="A21" s="273">
        <f>IF(DATA_IO!A18&lt;&gt;"",""&amp;DATA_IO!A18,"")</f>
        <v/>
      </c>
      <c r="B21" s="273">
        <f>IF(A21&lt;&gt;"","IO","")</f>
        <v/>
      </c>
      <c r="C21" s="273">
        <f>IF(A21&lt;&gt;"",""&amp;DATA_IO!B18,"")</f>
        <v/>
      </c>
      <c r="D21" s="273">
        <f>IF(A21&lt;&gt;"",""&amp;DATA_IO!C18,"")</f>
        <v/>
      </c>
      <c r="E21" s="273">
        <f>IF(A21&lt;&gt;"",""&amp;DATA_IO!D18,"")</f>
        <v/>
      </c>
      <c r="F21" s="274">
        <f>IF(A21&lt;&gt;"",DATA_IO!G18,"")</f>
        <v/>
      </c>
      <c r="G21" s="273">
        <f>IF(A21&lt;&gt;"",""&amp;DATA_IO!E18,"")</f>
        <v/>
      </c>
      <c r="H21" s="273">
        <f>IF(A21&lt;&gt;"","DERIVED","")</f>
        <v/>
      </c>
    </row>
    <row r="22">
      <c r="A22" s="273">
        <f>IF(DATA_IO!A19&lt;&gt;"",""&amp;DATA_IO!A19,"")</f>
        <v/>
      </c>
      <c r="B22" s="273">
        <f>IF(A22&lt;&gt;"","IO","")</f>
        <v/>
      </c>
      <c r="C22" s="273">
        <f>IF(A22&lt;&gt;"",""&amp;DATA_IO!B19,"")</f>
        <v/>
      </c>
      <c r="D22" s="273">
        <f>IF(A22&lt;&gt;"",""&amp;DATA_IO!C19,"")</f>
        <v/>
      </c>
      <c r="E22" s="273">
        <f>IF(A22&lt;&gt;"",""&amp;DATA_IO!D19,"")</f>
        <v/>
      </c>
      <c r="F22" s="274">
        <f>IF(A22&lt;&gt;"",DATA_IO!G19,"")</f>
        <v/>
      </c>
      <c r="G22" s="273">
        <f>IF(A22&lt;&gt;"",""&amp;DATA_IO!E19,"")</f>
        <v/>
      </c>
      <c r="H22" s="273">
        <f>IF(A22&lt;&gt;"","DERIVED","")</f>
        <v/>
      </c>
    </row>
    <row r="23">
      <c r="A23" s="273">
        <f>IF(DATA_IO!A20&lt;&gt;"",""&amp;DATA_IO!A20,"")</f>
        <v/>
      </c>
      <c r="B23" s="273">
        <f>IF(A23&lt;&gt;"","IO","")</f>
        <v/>
      </c>
      <c r="C23" s="273">
        <f>IF(A23&lt;&gt;"",""&amp;DATA_IO!B20,"")</f>
        <v/>
      </c>
      <c r="D23" s="273">
        <f>IF(A23&lt;&gt;"",""&amp;DATA_IO!C20,"")</f>
        <v/>
      </c>
      <c r="E23" s="273">
        <f>IF(A23&lt;&gt;"",""&amp;DATA_IO!D20,"")</f>
        <v/>
      </c>
      <c r="F23" s="274">
        <f>IF(A23&lt;&gt;"",DATA_IO!G20,"")</f>
        <v/>
      </c>
      <c r="G23" s="273">
        <f>IF(A23&lt;&gt;"",""&amp;DATA_IO!E20,"")</f>
        <v/>
      </c>
      <c r="H23" s="273">
        <f>IF(A23&lt;&gt;"","DERIVED","")</f>
        <v/>
      </c>
    </row>
    <row r="24">
      <c r="A24" s="273">
        <f>IF(DATA_IO!A21&lt;&gt;"",""&amp;DATA_IO!A21,"")</f>
        <v/>
      </c>
      <c r="B24" s="273">
        <f>IF(A24&lt;&gt;"","IO","")</f>
        <v/>
      </c>
      <c r="C24" s="273">
        <f>IF(A24&lt;&gt;"",""&amp;DATA_IO!B21,"")</f>
        <v/>
      </c>
      <c r="D24" s="273">
        <f>IF(A24&lt;&gt;"",""&amp;DATA_IO!C21,"")</f>
        <v/>
      </c>
      <c r="E24" s="273">
        <f>IF(A24&lt;&gt;"",""&amp;DATA_IO!D21,"")</f>
        <v/>
      </c>
      <c r="F24" s="274">
        <f>IF(A24&lt;&gt;"",DATA_IO!G21,"")</f>
        <v/>
      </c>
      <c r="G24" s="273">
        <f>IF(A24&lt;&gt;"",""&amp;DATA_IO!E21,"")</f>
        <v/>
      </c>
      <c r="H24" s="273">
        <f>IF(A24&lt;&gt;"","DERIVED","")</f>
        <v/>
      </c>
    </row>
    <row r="25">
      <c r="A25" s="273">
        <f>IF(DATA_IO!A22&lt;&gt;"",""&amp;DATA_IO!A22,"")</f>
        <v/>
      </c>
      <c r="B25" s="273">
        <f>IF(A25&lt;&gt;"","IO","")</f>
        <v/>
      </c>
      <c r="C25" s="273">
        <f>IF(A25&lt;&gt;"",""&amp;DATA_IO!B22,"")</f>
        <v/>
      </c>
      <c r="D25" s="273">
        <f>IF(A25&lt;&gt;"",""&amp;DATA_IO!C22,"")</f>
        <v/>
      </c>
      <c r="E25" s="273">
        <f>IF(A25&lt;&gt;"",""&amp;DATA_IO!D22,"")</f>
        <v/>
      </c>
      <c r="F25" s="274">
        <f>IF(A25&lt;&gt;"",DATA_IO!G22,"")</f>
        <v/>
      </c>
      <c r="G25" s="273">
        <f>IF(A25&lt;&gt;"",""&amp;DATA_IO!E22,"")</f>
        <v/>
      </c>
      <c r="H25" s="273">
        <f>IF(A25&lt;&gt;"","DERIVED","")</f>
        <v/>
      </c>
    </row>
    <row r="26">
      <c r="A26" s="273">
        <f>IF(DATA_IO!A23&lt;&gt;"",""&amp;DATA_IO!A23,"")</f>
        <v/>
      </c>
      <c r="B26" s="273">
        <f>IF(A26&lt;&gt;"","IO","")</f>
        <v/>
      </c>
      <c r="C26" s="273">
        <f>IF(A26&lt;&gt;"",""&amp;DATA_IO!B23,"")</f>
        <v/>
      </c>
      <c r="D26" s="273">
        <f>IF(A26&lt;&gt;"",""&amp;DATA_IO!C23,"")</f>
        <v/>
      </c>
      <c r="E26" s="273">
        <f>IF(A26&lt;&gt;"",""&amp;DATA_IO!D23,"")</f>
        <v/>
      </c>
      <c r="F26" s="274">
        <f>IF(A26&lt;&gt;"",DATA_IO!G23,"")</f>
        <v/>
      </c>
      <c r="G26" s="273">
        <f>IF(A26&lt;&gt;"",""&amp;DATA_IO!E23,"")</f>
        <v/>
      </c>
      <c r="H26" s="273">
        <f>IF(A26&lt;&gt;"","DERIVED","")</f>
        <v/>
      </c>
    </row>
    <row r="27">
      <c r="A27" s="273">
        <f>IF(DATA_IO!A24&lt;&gt;"",""&amp;DATA_IO!A24,"")</f>
        <v/>
      </c>
      <c r="B27" s="273">
        <f>IF(A27&lt;&gt;"","IO","")</f>
        <v/>
      </c>
      <c r="C27" s="273">
        <f>IF(A27&lt;&gt;"",""&amp;DATA_IO!B24,"")</f>
        <v/>
      </c>
      <c r="D27" s="273">
        <f>IF(A27&lt;&gt;"",""&amp;DATA_IO!C24,"")</f>
        <v/>
      </c>
      <c r="E27" s="273">
        <f>IF(A27&lt;&gt;"",""&amp;DATA_IO!D24,"")</f>
        <v/>
      </c>
      <c r="F27" s="274">
        <f>IF(A27&lt;&gt;"",DATA_IO!G24,"")</f>
        <v/>
      </c>
      <c r="G27" s="273">
        <f>IF(A27&lt;&gt;"",""&amp;DATA_IO!E24,"")</f>
        <v/>
      </c>
      <c r="H27" s="273">
        <f>IF(A27&lt;&gt;"","DERIVED","")</f>
        <v/>
      </c>
    </row>
    <row r="28">
      <c r="A28" s="273">
        <f>IF(DATA_IO!A25&lt;&gt;"",""&amp;DATA_IO!A25,"")</f>
        <v/>
      </c>
      <c r="B28" s="273">
        <f>IF(A28&lt;&gt;"","IO","")</f>
        <v/>
      </c>
      <c r="C28" s="273">
        <f>IF(A28&lt;&gt;"",""&amp;DATA_IO!B25,"")</f>
        <v/>
      </c>
      <c r="D28" s="273">
        <f>IF(A28&lt;&gt;"",""&amp;DATA_IO!C25,"")</f>
        <v/>
      </c>
      <c r="E28" s="273">
        <f>IF(A28&lt;&gt;"",""&amp;DATA_IO!D25,"")</f>
        <v/>
      </c>
      <c r="F28" s="274">
        <f>IF(A28&lt;&gt;"",DATA_IO!G25,"")</f>
        <v/>
      </c>
      <c r="G28" s="273">
        <f>IF(A28&lt;&gt;"",""&amp;DATA_IO!E25,"")</f>
        <v/>
      </c>
      <c r="H28" s="273">
        <f>IF(A28&lt;&gt;"","DERIVED","")</f>
        <v/>
      </c>
    </row>
    <row r="29">
      <c r="A29" s="273">
        <f>IF(DATA_IO!A26&lt;&gt;"",""&amp;DATA_IO!A26,"")</f>
        <v/>
      </c>
      <c r="B29" s="273">
        <f>IF(A29&lt;&gt;"","IO","")</f>
        <v/>
      </c>
      <c r="C29" s="273">
        <f>IF(A29&lt;&gt;"",""&amp;DATA_IO!B26,"")</f>
        <v/>
      </c>
      <c r="D29" s="273">
        <f>IF(A29&lt;&gt;"",""&amp;DATA_IO!C26,"")</f>
        <v/>
      </c>
      <c r="E29" s="273">
        <f>IF(A29&lt;&gt;"",""&amp;DATA_IO!D26,"")</f>
        <v/>
      </c>
      <c r="F29" s="274">
        <f>IF(A29&lt;&gt;"",DATA_IO!G26,"")</f>
        <v/>
      </c>
      <c r="G29" s="273">
        <f>IF(A29&lt;&gt;"",""&amp;DATA_IO!E26,"")</f>
        <v/>
      </c>
      <c r="H29" s="273">
        <f>IF(A29&lt;&gt;"","DERIVED","")</f>
        <v/>
      </c>
    </row>
    <row r="30">
      <c r="A30" s="273">
        <f>IF(DATA_IO!A27&lt;&gt;"",""&amp;DATA_IO!A27,"")</f>
        <v/>
      </c>
      <c r="B30" s="273">
        <f>IF(A30&lt;&gt;"","IO","")</f>
        <v/>
      </c>
      <c r="C30" s="273">
        <f>IF(A30&lt;&gt;"",""&amp;DATA_IO!B27,"")</f>
        <v/>
      </c>
      <c r="D30" s="273">
        <f>IF(A30&lt;&gt;"",""&amp;DATA_IO!C27,"")</f>
        <v/>
      </c>
      <c r="E30" s="273">
        <f>IF(A30&lt;&gt;"",""&amp;DATA_IO!D27,"")</f>
        <v/>
      </c>
      <c r="F30" s="274">
        <f>IF(A30&lt;&gt;"",DATA_IO!G27,"")</f>
        <v/>
      </c>
      <c r="G30" s="273">
        <f>IF(A30&lt;&gt;"",""&amp;DATA_IO!E27,"")</f>
        <v/>
      </c>
      <c r="H30" s="273">
        <f>IF(A30&lt;&gt;"","DERIVED","")</f>
        <v/>
      </c>
    </row>
    <row r="31">
      <c r="A31" s="273">
        <f>IF(DATA_IO!A28&lt;&gt;"",""&amp;DATA_IO!A28,"")</f>
        <v/>
      </c>
      <c r="B31" s="273">
        <f>IF(A31&lt;&gt;"","IO","")</f>
        <v/>
      </c>
      <c r="C31" s="273">
        <f>IF(A31&lt;&gt;"",""&amp;DATA_IO!B28,"")</f>
        <v/>
      </c>
      <c r="D31" s="273">
        <f>IF(A31&lt;&gt;"",""&amp;DATA_IO!C28,"")</f>
        <v/>
      </c>
      <c r="E31" s="273">
        <f>IF(A31&lt;&gt;"",""&amp;DATA_IO!D28,"")</f>
        <v/>
      </c>
      <c r="F31" s="274">
        <f>IF(A31&lt;&gt;"",DATA_IO!G28,"")</f>
        <v/>
      </c>
      <c r="G31" s="273">
        <f>IF(A31&lt;&gt;"",""&amp;DATA_IO!E28,"")</f>
        <v/>
      </c>
      <c r="H31" s="273">
        <f>IF(A31&lt;&gt;"","DERIVED","")</f>
        <v/>
      </c>
    </row>
    <row r="32">
      <c r="A32" s="273">
        <f>IF(DATA_IO!A29&lt;&gt;"",""&amp;DATA_IO!A29,"")</f>
        <v/>
      </c>
      <c r="B32" s="273">
        <f>IF(A32&lt;&gt;"","IO","")</f>
        <v/>
      </c>
      <c r="C32" s="273">
        <f>IF(A32&lt;&gt;"",""&amp;DATA_IO!B29,"")</f>
        <v/>
      </c>
      <c r="D32" s="273">
        <f>IF(A32&lt;&gt;"",""&amp;DATA_IO!C29,"")</f>
        <v/>
      </c>
      <c r="E32" s="273">
        <f>IF(A32&lt;&gt;"",""&amp;DATA_IO!D29,"")</f>
        <v/>
      </c>
      <c r="F32" s="274">
        <f>IF(A32&lt;&gt;"",DATA_IO!G29,"")</f>
        <v/>
      </c>
      <c r="G32" s="273">
        <f>IF(A32&lt;&gt;"",""&amp;DATA_IO!E29,"")</f>
        <v/>
      </c>
      <c r="H32" s="273">
        <f>IF(A32&lt;&gt;"","DERIVED","")</f>
        <v/>
      </c>
    </row>
    <row r="33">
      <c r="A33" s="273">
        <f>IF(DATA_IO!A30&lt;&gt;"",""&amp;DATA_IO!A30,"")</f>
        <v/>
      </c>
      <c r="B33" s="273">
        <f>IF(A33&lt;&gt;"","IO","")</f>
        <v/>
      </c>
      <c r="C33" s="273">
        <f>IF(A33&lt;&gt;"",""&amp;DATA_IO!B30,"")</f>
        <v/>
      </c>
      <c r="D33" s="273">
        <f>IF(A33&lt;&gt;"",""&amp;DATA_IO!C30,"")</f>
        <v/>
      </c>
      <c r="E33" s="273">
        <f>IF(A33&lt;&gt;"",""&amp;DATA_IO!D30,"")</f>
        <v/>
      </c>
      <c r="F33" s="274">
        <f>IF(A33&lt;&gt;"",DATA_IO!G30,"")</f>
        <v/>
      </c>
      <c r="G33" s="273">
        <f>IF(A33&lt;&gt;"",""&amp;DATA_IO!E30,"")</f>
        <v/>
      </c>
      <c r="H33" s="273">
        <f>IF(A33&lt;&gt;"","DERIVED","")</f>
        <v/>
      </c>
    </row>
    <row r="34">
      <c r="A34" s="273">
        <f>IF(DATA_IO!A31&lt;&gt;"",""&amp;DATA_IO!A31,"")</f>
        <v/>
      </c>
      <c r="B34" s="273">
        <f>IF(A34&lt;&gt;"","IO","")</f>
        <v/>
      </c>
      <c r="C34" s="273">
        <f>IF(A34&lt;&gt;"",""&amp;DATA_IO!B31,"")</f>
        <v/>
      </c>
      <c r="D34" s="273">
        <f>IF(A34&lt;&gt;"",""&amp;DATA_IO!C31,"")</f>
        <v/>
      </c>
      <c r="E34" s="273">
        <f>IF(A34&lt;&gt;"",""&amp;DATA_IO!D31,"")</f>
        <v/>
      </c>
      <c r="F34" s="274">
        <f>IF(A34&lt;&gt;"",DATA_IO!G31,"")</f>
        <v/>
      </c>
      <c r="G34" s="273">
        <f>IF(A34&lt;&gt;"",""&amp;DATA_IO!E31,"")</f>
        <v/>
      </c>
      <c r="H34" s="273">
        <f>IF(A34&lt;&gt;"","DERIVED","")</f>
        <v/>
      </c>
    </row>
    <row r="35">
      <c r="A35" s="273">
        <f>IF(DATA_IO!A32&lt;&gt;"",""&amp;DATA_IO!A32,"")</f>
        <v/>
      </c>
      <c r="B35" s="273">
        <f>IF(A35&lt;&gt;"","IO","")</f>
        <v/>
      </c>
      <c r="C35" s="273">
        <f>IF(A35&lt;&gt;"",""&amp;DATA_IO!B32,"")</f>
        <v/>
      </c>
      <c r="D35" s="273">
        <f>IF(A35&lt;&gt;"",""&amp;DATA_IO!C32,"")</f>
        <v/>
      </c>
      <c r="E35" s="273">
        <f>IF(A35&lt;&gt;"",""&amp;DATA_IO!D32,"")</f>
        <v/>
      </c>
      <c r="F35" s="274">
        <f>IF(A35&lt;&gt;"",DATA_IO!G32,"")</f>
        <v/>
      </c>
      <c r="G35" s="273">
        <f>IF(A35&lt;&gt;"",""&amp;DATA_IO!E32,"")</f>
        <v/>
      </c>
      <c r="H35" s="273">
        <f>IF(A35&lt;&gt;"","DERIVED","")</f>
        <v/>
      </c>
    </row>
    <row r="36">
      <c r="A36" s="273">
        <f>IF(DATA_IO!A33&lt;&gt;"",""&amp;DATA_IO!A33,"")</f>
        <v/>
      </c>
      <c r="B36" s="273">
        <f>IF(A36&lt;&gt;"","IO","")</f>
        <v/>
      </c>
      <c r="C36" s="273">
        <f>IF(A36&lt;&gt;"",""&amp;DATA_IO!B33,"")</f>
        <v/>
      </c>
      <c r="D36" s="273">
        <f>IF(A36&lt;&gt;"",""&amp;DATA_IO!C33,"")</f>
        <v/>
      </c>
      <c r="E36" s="273">
        <f>IF(A36&lt;&gt;"",""&amp;DATA_IO!D33,"")</f>
        <v/>
      </c>
      <c r="F36" s="274">
        <f>IF(A36&lt;&gt;"",DATA_IO!G33,"")</f>
        <v/>
      </c>
      <c r="G36" s="273">
        <f>IF(A36&lt;&gt;"",""&amp;DATA_IO!E33,"")</f>
        <v/>
      </c>
      <c r="H36" s="273">
        <f>IF(A36&lt;&gt;"","DERIVED","")</f>
        <v/>
      </c>
    </row>
    <row r="37">
      <c r="A37" s="273">
        <f>IF(DATA_IO!A34&lt;&gt;"",""&amp;DATA_IO!A34,"")</f>
        <v/>
      </c>
      <c r="B37" s="273">
        <f>IF(A37&lt;&gt;"","IO","")</f>
        <v/>
      </c>
      <c r="C37" s="273">
        <f>IF(A37&lt;&gt;"",""&amp;DATA_IO!B34,"")</f>
        <v/>
      </c>
      <c r="D37" s="273">
        <f>IF(A37&lt;&gt;"",""&amp;DATA_IO!C34,"")</f>
        <v/>
      </c>
      <c r="E37" s="273">
        <f>IF(A37&lt;&gt;"",""&amp;DATA_IO!D34,"")</f>
        <v/>
      </c>
      <c r="F37" s="274">
        <f>IF(A37&lt;&gt;"",DATA_IO!G34,"")</f>
        <v/>
      </c>
      <c r="G37" s="273">
        <f>IF(A37&lt;&gt;"",""&amp;DATA_IO!E34,"")</f>
        <v/>
      </c>
      <c r="H37" s="273">
        <f>IF(A37&lt;&gt;"","DERIVED","")</f>
        <v/>
      </c>
    </row>
    <row r="38">
      <c r="A38" s="273">
        <f>IF(DATA_IO!A35&lt;&gt;"",""&amp;DATA_IO!A35,"")</f>
        <v/>
      </c>
      <c r="B38" s="273">
        <f>IF(A38&lt;&gt;"","IO","")</f>
        <v/>
      </c>
      <c r="C38" s="273">
        <f>IF(A38&lt;&gt;"",""&amp;DATA_IO!B35,"")</f>
        <v/>
      </c>
      <c r="D38" s="273">
        <f>IF(A38&lt;&gt;"",""&amp;DATA_IO!C35,"")</f>
        <v/>
      </c>
      <c r="E38" s="273">
        <f>IF(A38&lt;&gt;"",""&amp;DATA_IO!D35,"")</f>
        <v/>
      </c>
      <c r="F38" s="274">
        <f>IF(A38&lt;&gt;"",DATA_IO!G35,"")</f>
        <v/>
      </c>
      <c r="G38" s="273">
        <f>IF(A38&lt;&gt;"",""&amp;DATA_IO!E35,"")</f>
        <v/>
      </c>
      <c r="H38" s="273">
        <f>IF(A38&lt;&gt;"","DERIVED","")</f>
        <v/>
      </c>
    </row>
    <row r="39">
      <c r="A39" s="273">
        <f>IF(DATA_IO!A36&lt;&gt;"",""&amp;DATA_IO!A36,"")</f>
        <v/>
      </c>
      <c r="B39" s="273">
        <f>IF(A39&lt;&gt;"","IO","")</f>
        <v/>
      </c>
      <c r="C39" s="273">
        <f>IF(A39&lt;&gt;"",""&amp;DATA_IO!B36,"")</f>
        <v/>
      </c>
      <c r="D39" s="273">
        <f>IF(A39&lt;&gt;"",""&amp;DATA_IO!C36,"")</f>
        <v/>
      </c>
      <c r="E39" s="273">
        <f>IF(A39&lt;&gt;"",""&amp;DATA_IO!D36,"")</f>
        <v/>
      </c>
      <c r="F39" s="274">
        <f>IF(A39&lt;&gt;"",DATA_IO!G36,"")</f>
        <v/>
      </c>
      <c r="G39" s="273">
        <f>IF(A39&lt;&gt;"",""&amp;DATA_IO!E36,"")</f>
        <v/>
      </c>
      <c r="H39" s="273">
        <f>IF(A39&lt;&gt;"","DERIVED","")</f>
        <v/>
      </c>
    </row>
    <row r="40">
      <c r="A40" s="273">
        <f>IF(DATA_IO!A37&lt;&gt;"",""&amp;DATA_IO!A37,"")</f>
        <v/>
      </c>
      <c r="B40" s="273">
        <f>IF(A40&lt;&gt;"","IO","")</f>
        <v/>
      </c>
      <c r="C40" s="273">
        <f>IF(A40&lt;&gt;"",""&amp;DATA_IO!B37,"")</f>
        <v/>
      </c>
      <c r="D40" s="273">
        <f>IF(A40&lt;&gt;"",""&amp;DATA_IO!C37,"")</f>
        <v/>
      </c>
      <c r="E40" s="273">
        <f>IF(A40&lt;&gt;"",""&amp;DATA_IO!D37,"")</f>
        <v/>
      </c>
      <c r="F40" s="274">
        <f>IF(A40&lt;&gt;"",DATA_IO!G37,"")</f>
        <v/>
      </c>
      <c r="G40" s="273">
        <f>IF(A40&lt;&gt;"",""&amp;DATA_IO!E37,"")</f>
        <v/>
      </c>
      <c r="H40" s="273">
        <f>IF(A40&lt;&gt;"","DERIVED","")</f>
        <v/>
      </c>
    </row>
    <row r="41">
      <c r="A41" s="273">
        <f>IF(DATA_IO!A38&lt;&gt;"",""&amp;DATA_IO!A38,"")</f>
        <v/>
      </c>
      <c r="B41" s="273">
        <f>IF(A41&lt;&gt;"","IO","")</f>
        <v/>
      </c>
      <c r="C41" s="273">
        <f>IF(A41&lt;&gt;"",""&amp;DATA_IO!B38,"")</f>
        <v/>
      </c>
      <c r="D41" s="273">
        <f>IF(A41&lt;&gt;"",""&amp;DATA_IO!C38,"")</f>
        <v/>
      </c>
      <c r="E41" s="273">
        <f>IF(A41&lt;&gt;"",""&amp;DATA_IO!D38,"")</f>
        <v/>
      </c>
      <c r="F41" s="274">
        <f>IF(A41&lt;&gt;"",DATA_IO!G38,"")</f>
        <v/>
      </c>
      <c r="G41" s="273">
        <f>IF(A41&lt;&gt;"",""&amp;DATA_IO!E38,"")</f>
        <v/>
      </c>
      <c r="H41" s="273">
        <f>IF(A41&lt;&gt;"","DERIVED","")</f>
        <v/>
      </c>
    </row>
    <row r="42">
      <c r="A42" s="273">
        <f>IF(DATA_IO!A39&lt;&gt;"",""&amp;DATA_IO!A39,"")</f>
        <v/>
      </c>
      <c r="B42" s="273">
        <f>IF(A42&lt;&gt;"","IO","")</f>
        <v/>
      </c>
      <c r="C42" s="273">
        <f>IF(A42&lt;&gt;"",""&amp;DATA_IO!B39,"")</f>
        <v/>
      </c>
      <c r="D42" s="273">
        <f>IF(A42&lt;&gt;"",""&amp;DATA_IO!C39,"")</f>
        <v/>
      </c>
      <c r="E42" s="273">
        <f>IF(A42&lt;&gt;"",""&amp;DATA_IO!D39,"")</f>
        <v/>
      </c>
      <c r="F42" s="274">
        <f>IF(A42&lt;&gt;"",DATA_IO!G39,"")</f>
        <v/>
      </c>
      <c r="G42" s="273">
        <f>IF(A42&lt;&gt;"",""&amp;DATA_IO!E39,"")</f>
        <v/>
      </c>
      <c r="H42" s="273">
        <f>IF(A42&lt;&gt;"","DERIVED","")</f>
        <v/>
      </c>
    </row>
    <row r="43">
      <c r="A43" s="273">
        <f>IF(DATA_IO!A40&lt;&gt;"",""&amp;DATA_IO!A40,"")</f>
        <v/>
      </c>
      <c r="B43" s="273">
        <f>IF(A43&lt;&gt;"","IO","")</f>
        <v/>
      </c>
      <c r="C43" s="273">
        <f>IF(A43&lt;&gt;"",""&amp;DATA_IO!B40,"")</f>
        <v/>
      </c>
      <c r="D43" s="273">
        <f>IF(A43&lt;&gt;"",""&amp;DATA_IO!C40,"")</f>
        <v/>
      </c>
      <c r="E43" s="273">
        <f>IF(A43&lt;&gt;"",""&amp;DATA_IO!D40,"")</f>
        <v/>
      </c>
      <c r="F43" s="274">
        <f>IF(A43&lt;&gt;"",DATA_IO!G40,"")</f>
        <v/>
      </c>
      <c r="G43" s="273">
        <f>IF(A43&lt;&gt;"",""&amp;DATA_IO!E40,"")</f>
        <v/>
      </c>
      <c r="H43" s="273">
        <f>IF(A43&lt;&gt;"","DERIVED","")</f>
        <v/>
      </c>
    </row>
    <row r="44">
      <c r="A44" s="273">
        <f>IF(DATA_IO!A41&lt;&gt;"",""&amp;DATA_IO!A41,"")</f>
        <v/>
      </c>
      <c r="B44" s="273">
        <f>IF(A44&lt;&gt;"","IO","")</f>
        <v/>
      </c>
      <c r="C44" s="273">
        <f>IF(A44&lt;&gt;"",""&amp;DATA_IO!B41,"")</f>
        <v/>
      </c>
      <c r="D44" s="273">
        <f>IF(A44&lt;&gt;"",""&amp;DATA_IO!C41,"")</f>
        <v/>
      </c>
      <c r="E44" s="273">
        <f>IF(A44&lt;&gt;"",""&amp;DATA_IO!D41,"")</f>
        <v/>
      </c>
      <c r="F44" s="274">
        <f>IF(A44&lt;&gt;"",DATA_IO!G41,"")</f>
        <v/>
      </c>
      <c r="G44" s="273">
        <f>IF(A44&lt;&gt;"",""&amp;DATA_IO!E41,"")</f>
        <v/>
      </c>
      <c r="H44" s="273">
        <f>IF(A44&lt;&gt;"","DERIVED","")</f>
        <v/>
      </c>
    </row>
    <row r="45">
      <c r="A45" s="273">
        <f>IF(DATA_IO!A42&lt;&gt;"",""&amp;DATA_IO!A42,"")</f>
        <v/>
      </c>
      <c r="B45" s="273">
        <f>IF(A45&lt;&gt;"","IO","")</f>
        <v/>
      </c>
      <c r="C45" s="273">
        <f>IF(A45&lt;&gt;"",""&amp;DATA_IO!B42,"")</f>
        <v/>
      </c>
      <c r="D45" s="273">
        <f>IF(A45&lt;&gt;"",""&amp;DATA_IO!C42,"")</f>
        <v/>
      </c>
      <c r="E45" s="273">
        <f>IF(A45&lt;&gt;"",""&amp;DATA_IO!D42,"")</f>
        <v/>
      </c>
      <c r="F45" s="274">
        <f>IF(A45&lt;&gt;"",DATA_IO!G42,"")</f>
        <v/>
      </c>
      <c r="G45" s="273">
        <f>IF(A45&lt;&gt;"",""&amp;DATA_IO!E42,"")</f>
        <v/>
      </c>
      <c r="H45" s="273">
        <f>IF(A45&lt;&gt;"","DERIVED","")</f>
        <v/>
      </c>
    </row>
    <row r="46">
      <c r="A46" s="273">
        <f>IF(DATA_IO!A43&lt;&gt;"",""&amp;DATA_IO!A43,"")</f>
        <v/>
      </c>
      <c r="B46" s="273">
        <f>IF(A46&lt;&gt;"","IO","")</f>
        <v/>
      </c>
      <c r="C46" s="273">
        <f>IF(A46&lt;&gt;"",""&amp;DATA_IO!B43,"")</f>
        <v/>
      </c>
      <c r="D46" s="273">
        <f>IF(A46&lt;&gt;"",""&amp;DATA_IO!C43,"")</f>
        <v/>
      </c>
      <c r="E46" s="273">
        <f>IF(A46&lt;&gt;"",""&amp;DATA_IO!D43,"")</f>
        <v/>
      </c>
      <c r="F46" s="274">
        <f>IF(A46&lt;&gt;"",DATA_IO!G43,"")</f>
        <v/>
      </c>
      <c r="G46" s="273">
        <f>IF(A46&lt;&gt;"",""&amp;DATA_IO!E43,"")</f>
        <v/>
      </c>
      <c r="H46" s="273">
        <f>IF(A46&lt;&gt;"","DERIVED","")</f>
        <v/>
      </c>
    </row>
    <row r="47">
      <c r="A47" s="273">
        <f>IF(DATA_IO!A44&lt;&gt;"",""&amp;DATA_IO!A44,"")</f>
        <v/>
      </c>
      <c r="B47" s="273">
        <f>IF(A47&lt;&gt;"","IO","")</f>
        <v/>
      </c>
      <c r="C47" s="273">
        <f>IF(A47&lt;&gt;"",""&amp;DATA_IO!B44,"")</f>
        <v/>
      </c>
      <c r="D47" s="273">
        <f>IF(A47&lt;&gt;"",""&amp;DATA_IO!C44,"")</f>
        <v/>
      </c>
      <c r="E47" s="273">
        <f>IF(A47&lt;&gt;"",""&amp;DATA_IO!D44,"")</f>
        <v/>
      </c>
      <c r="F47" s="274">
        <f>IF(A47&lt;&gt;"",DATA_IO!G44,"")</f>
        <v/>
      </c>
      <c r="G47" s="273">
        <f>IF(A47&lt;&gt;"",""&amp;DATA_IO!E44,"")</f>
        <v/>
      </c>
      <c r="H47" s="273">
        <f>IF(A47&lt;&gt;"","DERIVED","")</f>
        <v/>
      </c>
    </row>
    <row r="48">
      <c r="A48" s="273">
        <f>IF(DATA_IO!A45&lt;&gt;"",""&amp;DATA_IO!A45,"")</f>
        <v/>
      </c>
      <c r="B48" s="273">
        <f>IF(A48&lt;&gt;"","IO","")</f>
        <v/>
      </c>
      <c r="C48" s="273">
        <f>IF(A48&lt;&gt;"",""&amp;DATA_IO!B45,"")</f>
        <v/>
      </c>
      <c r="D48" s="273">
        <f>IF(A48&lt;&gt;"",""&amp;DATA_IO!C45,"")</f>
        <v/>
      </c>
      <c r="E48" s="273">
        <f>IF(A48&lt;&gt;"",""&amp;DATA_IO!D45,"")</f>
        <v/>
      </c>
      <c r="F48" s="274">
        <f>IF(A48&lt;&gt;"",DATA_IO!G45,"")</f>
        <v/>
      </c>
      <c r="G48" s="273">
        <f>IF(A48&lt;&gt;"",""&amp;DATA_IO!E45,"")</f>
        <v/>
      </c>
      <c r="H48" s="273">
        <f>IF(A48&lt;&gt;"","DERIVED","")</f>
        <v/>
      </c>
    </row>
    <row r="49">
      <c r="A49" s="273">
        <f>IF(DATA_IO!A46&lt;&gt;"",""&amp;DATA_IO!A46,"")</f>
        <v/>
      </c>
      <c r="B49" s="273">
        <f>IF(A49&lt;&gt;"","IO","")</f>
        <v/>
      </c>
      <c r="C49" s="273">
        <f>IF(A49&lt;&gt;"",""&amp;DATA_IO!B46,"")</f>
        <v/>
      </c>
      <c r="D49" s="273">
        <f>IF(A49&lt;&gt;"",""&amp;DATA_IO!C46,"")</f>
        <v/>
      </c>
      <c r="E49" s="273">
        <f>IF(A49&lt;&gt;"",""&amp;DATA_IO!D46,"")</f>
        <v/>
      </c>
      <c r="F49" s="274">
        <f>IF(A49&lt;&gt;"",DATA_IO!G46,"")</f>
        <v/>
      </c>
      <c r="G49" s="273">
        <f>IF(A49&lt;&gt;"",""&amp;DATA_IO!E46,"")</f>
        <v/>
      </c>
      <c r="H49" s="273">
        <f>IF(A49&lt;&gt;"","DERIVED","")</f>
        <v/>
      </c>
    </row>
    <row r="50">
      <c r="A50" s="273">
        <f>IF(DATA_IO!A47&lt;&gt;"",""&amp;DATA_IO!A47,"")</f>
        <v/>
      </c>
      <c r="B50" s="273">
        <f>IF(A50&lt;&gt;"","IO","")</f>
        <v/>
      </c>
      <c r="C50" s="273">
        <f>IF(A50&lt;&gt;"",""&amp;DATA_IO!B47,"")</f>
        <v/>
      </c>
      <c r="D50" s="273">
        <f>IF(A50&lt;&gt;"",""&amp;DATA_IO!C47,"")</f>
        <v/>
      </c>
      <c r="E50" s="273">
        <f>IF(A50&lt;&gt;"",""&amp;DATA_IO!D47,"")</f>
        <v/>
      </c>
      <c r="F50" s="274">
        <f>IF(A50&lt;&gt;"",DATA_IO!G47,"")</f>
        <v/>
      </c>
      <c r="G50" s="273">
        <f>IF(A50&lt;&gt;"",""&amp;DATA_IO!E47,"")</f>
        <v/>
      </c>
      <c r="H50" s="273">
        <f>IF(A50&lt;&gt;"","DERIVED","")</f>
        <v/>
      </c>
    </row>
    <row r="51">
      <c r="A51" s="273">
        <f>IF(DATA_IO!A48&lt;&gt;"",""&amp;DATA_IO!A48,"")</f>
        <v/>
      </c>
      <c r="B51" s="273">
        <f>IF(A51&lt;&gt;"","IO","")</f>
        <v/>
      </c>
      <c r="C51" s="273">
        <f>IF(A51&lt;&gt;"",""&amp;DATA_IO!B48,"")</f>
        <v/>
      </c>
      <c r="D51" s="273">
        <f>IF(A51&lt;&gt;"",""&amp;DATA_IO!C48,"")</f>
        <v/>
      </c>
      <c r="E51" s="273">
        <f>IF(A51&lt;&gt;"",""&amp;DATA_IO!D48,"")</f>
        <v/>
      </c>
      <c r="F51" s="274">
        <f>IF(A51&lt;&gt;"",DATA_IO!G48,"")</f>
        <v/>
      </c>
      <c r="G51" s="273">
        <f>IF(A51&lt;&gt;"",""&amp;DATA_IO!E48,"")</f>
        <v/>
      </c>
      <c r="H51" s="273">
        <f>IF(A51&lt;&gt;"","DERIVED","")</f>
        <v/>
      </c>
    </row>
    <row r="52">
      <c r="A52" s="273">
        <f>IF(DATA_IO!A49&lt;&gt;"",""&amp;DATA_IO!A49,"")</f>
        <v/>
      </c>
      <c r="B52" s="273">
        <f>IF(A52&lt;&gt;"","IO","")</f>
        <v/>
      </c>
      <c r="C52" s="273">
        <f>IF(A52&lt;&gt;"",""&amp;DATA_IO!B49,"")</f>
        <v/>
      </c>
      <c r="D52" s="273">
        <f>IF(A52&lt;&gt;"",""&amp;DATA_IO!C49,"")</f>
        <v/>
      </c>
      <c r="E52" s="273">
        <f>IF(A52&lt;&gt;"",""&amp;DATA_IO!D49,"")</f>
        <v/>
      </c>
      <c r="F52" s="274">
        <f>IF(A52&lt;&gt;"",DATA_IO!G49,"")</f>
        <v/>
      </c>
      <c r="G52" s="273">
        <f>IF(A52&lt;&gt;"",""&amp;DATA_IO!E49,"")</f>
        <v/>
      </c>
      <c r="H52" s="273">
        <f>IF(A52&lt;&gt;"","DERIVED","")</f>
        <v/>
      </c>
    </row>
    <row r="53">
      <c r="A53" s="273">
        <f>IF(DATA_IO!A50&lt;&gt;"",""&amp;DATA_IO!A50,"")</f>
        <v/>
      </c>
      <c r="B53" s="273">
        <f>IF(A53&lt;&gt;"","IO","")</f>
        <v/>
      </c>
      <c r="C53" s="273">
        <f>IF(A53&lt;&gt;"",""&amp;DATA_IO!B50,"")</f>
        <v/>
      </c>
      <c r="D53" s="273">
        <f>IF(A53&lt;&gt;"",""&amp;DATA_IO!C50,"")</f>
        <v/>
      </c>
      <c r="E53" s="273">
        <f>IF(A53&lt;&gt;"",""&amp;DATA_IO!D50,"")</f>
        <v/>
      </c>
      <c r="F53" s="274">
        <f>IF(A53&lt;&gt;"",DATA_IO!G50,"")</f>
        <v/>
      </c>
      <c r="G53" s="273">
        <f>IF(A53&lt;&gt;"",""&amp;DATA_IO!E50,"")</f>
        <v/>
      </c>
      <c r="H53" s="273">
        <f>IF(A53&lt;&gt;"","DERIVED","")</f>
        <v/>
      </c>
    </row>
    <row r="54">
      <c r="A54" s="273">
        <f>IF(DATA_IO!A51&lt;&gt;"",""&amp;DATA_IO!A51,"")</f>
        <v/>
      </c>
      <c r="B54" s="273">
        <f>IF(A54&lt;&gt;"","IO","")</f>
        <v/>
      </c>
      <c r="C54" s="273">
        <f>IF(A54&lt;&gt;"",""&amp;DATA_IO!B51,"")</f>
        <v/>
      </c>
      <c r="D54" s="273">
        <f>IF(A54&lt;&gt;"",""&amp;DATA_IO!C51,"")</f>
        <v/>
      </c>
      <c r="E54" s="273">
        <f>IF(A54&lt;&gt;"",""&amp;DATA_IO!D51,"")</f>
        <v/>
      </c>
      <c r="F54" s="274">
        <f>IF(A54&lt;&gt;"",DATA_IO!G51,"")</f>
        <v/>
      </c>
      <c r="G54" s="273">
        <f>IF(A54&lt;&gt;"",""&amp;DATA_IO!E51,"")</f>
        <v/>
      </c>
      <c r="H54" s="273">
        <f>IF(A54&lt;&gt;"","DERIVED","")</f>
        <v/>
      </c>
    </row>
    <row r="55">
      <c r="A55" s="273">
        <f>IF(DATA_IO!A52&lt;&gt;"",""&amp;DATA_IO!A52,"")</f>
        <v/>
      </c>
      <c r="B55" s="273">
        <f>IF(A55&lt;&gt;"","IO","")</f>
        <v/>
      </c>
      <c r="C55" s="273">
        <f>IF(A55&lt;&gt;"",""&amp;DATA_IO!B52,"")</f>
        <v/>
      </c>
      <c r="D55" s="273">
        <f>IF(A55&lt;&gt;"",""&amp;DATA_IO!C52,"")</f>
        <v/>
      </c>
      <c r="E55" s="273">
        <f>IF(A55&lt;&gt;"",""&amp;DATA_IO!D52,"")</f>
        <v/>
      </c>
      <c r="F55" s="274">
        <f>IF(A55&lt;&gt;"",DATA_IO!G52,"")</f>
        <v/>
      </c>
      <c r="G55" s="273">
        <f>IF(A55&lt;&gt;"",""&amp;DATA_IO!E52,"")</f>
        <v/>
      </c>
      <c r="H55" s="273">
        <f>IF(A55&lt;&gt;"","DERIVED","")</f>
        <v/>
      </c>
    </row>
    <row r="56">
      <c r="A56" s="273">
        <f>IF(DATA_IO!A53&lt;&gt;"",""&amp;DATA_IO!A53,"")</f>
        <v/>
      </c>
      <c r="B56" s="273">
        <f>IF(A56&lt;&gt;"","IO","")</f>
        <v/>
      </c>
      <c r="C56" s="273">
        <f>IF(A56&lt;&gt;"",""&amp;DATA_IO!B53,"")</f>
        <v/>
      </c>
      <c r="D56" s="273">
        <f>IF(A56&lt;&gt;"",""&amp;DATA_IO!C53,"")</f>
        <v/>
      </c>
      <c r="E56" s="273">
        <f>IF(A56&lt;&gt;"",""&amp;DATA_IO!D53,"")</f>
        <v/>
      </c>
      <c r="F56" s="274">
        <f>IF(A56&lt;&gt;"",DATA_IO!G53,"")</f>
        <v/>
      </c>
      <c r="G56" s="273">
        <f>IF(A56&lt;&gt;"",""&amp;DATA_IO!E53,"")</f>
        <v/>
      </c>
      <c r="H56" s="273">
        <f>IF(A56&lt;&gt;"","DERIVED","")</f>
        <v/>
      </c>
    </row>
    <row r="57">
      <c r="A57" s="273">
        <f>IF(DATA_IO!A54&lt;&gt;"",""&amp;DATA_IO!A54,"")</f>
        <v/>
      </c>
      <c r="B57" s="273">
        <f>IF(A57&lt;&gt;"","IO","")</f>
        <v/>
      </c>
      <c r="C57" s="273">
        <f>IF(A57&lt;&gt;"",""&amp;DATA_IO!B54,"")</f>
        <v/>
      </c>
      <c r="D57" s="273">
        <f>IF(A57&lt;&gt;"",""&amp;DATA_IO!C54,"")</f>
        <v/>
      </c>
      <c r="E57" s="273">
        <f>IF(A57&lt;&gt;"",""&amp;DATA_IO!D54,"")</f>
        <v/>
      </c>
      <c r="F57" s="274">
        <f>IF(A57&lt;&gt;"",DATA_IO!G54,"")</f>
        <v/>
      </c>
      <c r="G57" s="273">
        <f>IF(A57&lt;&gt;"",""&amp;DATA_IO!E54,"")</f>
        <v/>
      </c>
      <c r="H57" s="273">
        <f>IF(A57&lt;&gt;"","DERIVED","")</f>
        <v/>
      </c>
    </row>
    <row r="58">
      <c r="A58" s="273">
        <f>IF(DATA_IO!A55&lt;&gt;"",""&amp;DATA_IO!A55,"")</f>
        <v/>
      </c>
      <c r="B58" s="273">
        <f>IF(A58&lt;&gt;"","IO","")</f>
        <v/>
      </c>
      <c r="C58" s="273">
        <f>IF(A58&lt;&gt;"",""&amp;DATA_IO!B55,"")</f>
        <v/>
      </c>
      <c r="D58" s="273">
        <f>IF(A58&lt;&gt;"",""&amp;DATA_IO!C55,"")</f>
        <v/>
      </c>
      <c r="E58" s="273">
        <f>IF(A58&lt;&gt;"",""&amp;DATA_IO!D55,"")</f>
        <v/>
      </c>
      <c r="F58" s="274">
        <f>IF(A58&lt;&gt;"",DATA_IO!G55,"")</f>
        <v/>
      </c>
      <c r="G58" s="273">
        <f>IF(A58&lt;&gt;"",""&amp;DATA_IO!E55,"")</f>
        <v/>
      </c>
      <c r="H58" s="273">
        <f>IF(A58&lt;&gt;"","DERIVED","")</f>
        <v/>
      </c>
    </row>
    <row r="59">
      <c r="A59" s="273">
        <f>IF(DATA_IO!A56&lt;&gt;"",""&amp;DATA_IO!A56,"")</f>
        <v/>
      </c>
      <c r="B59" s="273">
        <f>IF(A59&lt;&gt;"","IO","")</f>
        <v/>
      </c>
      <c r="C59" s="273">
        <f>IF(A59&lt;&gt;"",""&amp;DATA_IO!B56,"")</f>
        <v/>
      </c>
      <c r="D59" s="273">
        <f>IF(A59&lt;&gt;"",""&amp;DATA_IO!C56,"")</f>
        <v/>
      </c>
      <c r="E59" s="273">
        <f>IF(A59&lt;&gt;"",""&amp;DATA_IO!D56,"")</f>
        <v/>
      </c>
      <c r="F59" s="274">
        <f>IF(A59&lt;&gt;"",DATA_IO!G56,"")</f>
        <v/>
      </c>
      <c r="G59" s="273">
        <f>IF(A59&lt;&gt;"",""&amp;DATA_IO!E56,"")</f>
        <v/>
      </c>
      <c r="H59" s="273">
        <f>IF(A59&lt;&gt;"","DERIVED","")</f>
        <v/>
      </c>
    </row>
    <row r="60">
      <c r="A60" s="273">
        <f>IF(DATA_IO!A57&lt;&gt;"",""&amp;DATA_IO!A57,"")</f>
        <v/>
      </c>
      <c r="B60" s="273">
        <f>IF(A60&lt;&gt;"","IO","")</f>
        <v/>
      </c>
      <c r="C60" s="273">
        <f>IF(A60&lt;&gt;"",""&amp;DATA_IO!B57,"")</f>
        <v/>
      </c>
      <c r="D60" s="273">
        <f>IF(A60&lt;&gt;"",""&amp;DATA_IO!C57,"")</f>
        <v/>
      </c>
      <c r="E60" s="273">
        <f>IF(A60&lt;&gt;"",""&amp;DATA_IO!D57,"")</f>
        <v/>
      </c>
      <c r="F60" s="274">
        <f>IF(A60&lt;&gt;"",DATA_IO!G57,"")</f>
        <v/>
      </c>
      <c r="G60" s="273">
        <f>IF(A60&lt;&gt;"",""&amp;DATA_IO!E57,"")</f>
        <v/>
      </c>
      <c r="H60" s="273">
        <f>IF(A60&lt;&gt;"","DERIVED","")</f>
        <v/>
      </c>
    </row>
    <row r="61">
      <c r="A61" s="273">
        <f>IF(DATA_IO!A58&lt;&gt;"",""&amp;DATA_IO!A58,"")</f>
        <v/>
      </c>
      <c r="B61" s="273">
        <f>IF(A61&lt;&gt;"","IO","")</f>
        <v/>
      </c>
      <c r="C61" s="273">
        <f>IF(A61&lt;&gt;"",""&amp;DATA_IO!B58,"")</f>
        <v/>
      </c>
      <c r="D61" s="273">
        <f>IF(A61&lt;&gt;"",""&amp;DATA_IO!C58,"")</f>
        <v/>
      </c>
      <c r="E61" s="273">
        <f>IF(A61&lt;&gt;"",""&amp;DATA_IO!D58,"")</f>
        <v/>
      </c>
      <c r="F61" s="274">
        <f>IF(A61&lt;&gt;"",DATA_IO!G58,"")</f>
        <v/>
      </c>
      <c r="G61" s="273">
        <f>IF(A61&lt;&gt;"",""&amp;DATA_IO!E58,"")</f>
        <v/>
      </c>
      <c r="H61" s="273">
        <f>IF(A61&lt;&gt;"","DERIVED","")</f>
        <v/>
      </c>
    </row>
    <row r="62">
      <c r="A62" s="273">
        <f>IF(DATA_IO!A59&lt;&gt;"",""&amp;DATA_IO!A59,"")</f>
        <v/>
      </c>
      <c r="B62" s="273">
        <f>IF(A62&lt;&gt;"","IO","")</f>
        <v/>
      </c>
      <c r="C62" s="273">
        <f>IF(A62&lt;&gt;"",""&amp;DATA_IO!B59,"")</f>
        <v/>
      </c>
      <c r="D62" s="273">
        <f>IF(A62&lt;&gt;"",""&amp;DATA_IO!C59,"")</f>
        <v/>
      </c>
      <c r="E62" s="273">
        <f>IF(A62&lt;&gt;"",""&amp;DATA_IO!D59,"")</f>
        <v/>
      </c>
      <c r="F62" s="274">
        <f>IF(A62&lt;&gt;"",DATA_IO!G59,"")</f>
        <v/>
      </c>
      <c r="G62" s="273">
        <f>IF(A62&lt;&gt;"",""&amp;DATA_IO!E59,"")</f>
        <v/>
      </c>
      <c r="H62" s="273">
        <f>IF(A62&lt;&gt;"","DERIVED","")</f>
        <v/>
      </c>
    </row>
    <row r="63">
      <c r="A63" s="273">
        <f>IF(DATA_IO!A60&lt;&gt;"",""&amp;DATA_IO!A60,"")</f>
        <v/>
      </c>
      <c r="B63" s="273">
        <f>IF(A63&lt;&gt;"","IO","")</f>
        <v/>
      </c>
      <c r="C63" s="273">
        <f>IF(A63&lt;&gt;"",""&amp;DATA_IO!B60,"")</f>
        <v/>
      </c>
      <c r="D63" s="273">
        <f>IF(A63&lt;&gt;"",""&amp;DATA_IO!C60,"")</f>
        <v/>
      </c>
      <c r="E63" s="273">
        <f>IF(A63&lt;&gt;"",""&amp;DATA_IO!D60,"")</f>
        <v/>
      </c>
      <c r="F63" s="274">
        <f>IF(A63&lt;&gt;"",DATA_IO!G60,"")</f>
        <v/>
      </c>
      <c r="G63" s="273">
        <f>IF(A63&lt;&gt;"",""&amp;DATA_IO!E60,"")</f>
        <v/>
      </c>
      <c r="H63" s="273">
        <f>IF(A63&lt;&gt;"","DERIVED","")</f>
        <v/>
      </c>
    </row>
    <row r="64">
      <c r="A64" s="273">
        <f>IF(DATA_IO!A61&lt;&gt;"",""&amp;DATA_IO!A61,"")</f>
        <v/>
      </c>
      <c r="B64" s="273">
        <f>IF(A64&lt;&gt;"","IO","")</f>
        <v/>
      </c>
      <c r="C64" s="273">
        <f>IF(A64&lt;&gt;"",""&amp;DATA_IO!B61,"")</f>
        <v/>
      </c>
      <c r="D64" s="273">
        <f>IF(A64&lt;&gt;"",""&amp;DATA_IO!C61,"")</f>
        <v/>
      </c>
      <c r="E64" s="273">
        <f>IF(A64&lt;&gt;"",""&amp;DATA_IO!D61,"")</f>
        <v/>
      </c>
      <c r="F64" s="274">
        <f>IF(A64&lt;&gt;"",DATA_IO!G61,"")</f>
        <v/>
      </c>
      <c r="G64" s="273">
        <f>IF(A64&lt;&gt;"",""&amp;DATA_IO!E61,"")</f>
        <v/>
      </c>
      <c r="H64" s="273">
        <f>IF(A64&lt;&gt;"","DERIVED","")</f>
        <v/>
      </c>
    </row>
    <row r="65">
      <c r="A65" s="273">
        <f>IF(DATA_IO!A62&lt;&gt;"",""&amp;DATA_IO!A62,"")</f>
        <v/>
      </c>
      <c r="B65" s="273">
        <f>IF(A65&lt;&gt;"","IO","")</f>
        <v/>
      </c>
      <c r="C65" s="273">
        <f>IF(A65&lt;&gt;"",""&amp;DATA_IO!B62,"")</f>
        <v/>
      </c>
      <c r="D65" s="273">
        <f>IF(A65&lt;&gt;"",""&amp;DATA_IO!C62,"")</f>
        <v/>
      </c>
      <c r="E65" s="273">
        <f>IF(A65&lt;&gt;"",""&amp;DATA_IO!D62,"")</f>
        <v/>
      </c>
      <c r="F65" s="274">
        <f>IF(A65&lt;&gt;"",DATA_IO!G62,"")</f>
        <v/>
      </c>
      <c r="G65" s="273">
        <f>IF(A65&lt;&gt;"",""&amp;DATA_IO!E62,"")</f>
        <v/>
      </c>
      <c r="H65" s="273">
        <f>IF(A65&lt;&gt;"","DERIVED","")</f>
        <v/>
      </c>
    </row>
    <row r="66">
      <c r="A66" s="273">
        <f>IF(DATA_IO!A63&lt;&gt;"",""&amp;DATA_IO!A63,"")</f>
        <v/>
      </c>
      <c r="B66" s="273">
        <f>IF(A66&lt;&gt;"","IO","")</f>
        <v/>
      </c>
      <c r="C66" s="273">
        <f>IF(A66&lt;&gt;"",""&amp;DATA_IO!B63,"")</f>
        <v/>
      </c>
      <c r="D66" s="273">
        <f>IF(A66&lt;&gt;"",""&amp;DATA_IO!C63,"")</f>
        <v/>
      </c>
      <c r="E66" s="273">
        <f>IF(A66&lt;&gt;"",""&amp;DATA_IO!D63,"")</f>
        <v/>
      </c>
      <c r="F66" s="274">
        <f>IF(A66&lt;&gt;"",DATA_IO!G63,"")</f>
        <v/>
      </c>
      <c r="G66" s="273">
        <f>IF(A66&lt;&gt;"",""&amp;DATA_IO!E63,"")</f>
        <v/>
      </c>
      <c r="H66" s="273">
        <f>IF(A66&lt;&gt;"","DERIVED","")</f>
        <v/>
      </c>
    </row>
    <row r="67">
      <c r="A67" s="273">
        <f>IF(DATA_IO!A64&lt;&gt;"",""&amp;DATA_IO!A64,"")</f>
        <v/>
      </c>
      <c r="B67" s="273">
        <f>IF(A67&lt;&gt;"","IO","")</f>
        <v/>
      </c>
      <c r="C67" s="273">
        <f>IF(A67&lt;&gt;"",""&amp;DATA_IO!B64,"")</f>
        <v/>
      </c>
      <c r="D67" s="273">
        <f>IF(A67&lt;&gt;"",""&amp;DATA_IO!C64,"")</f>
        <v/>
      </c>
      <c r="E67" s="273">
        <f>IF(A67&lt;&gt;"",""&amp;DATA_IO!D64,"")</f>
        <v/>
      </c>
      <c r="F67" s="274">
        <f>IF(A67&lt;&gt;"",DATA_IO!G64,"")</f>
        <v/>
      </c>
      <c r="G67" s="273">
        <f>IF(A67&lt;&gt;"",""&amp;DATA_IO!E64,"")</f>
        <v/>
      </c>
      <c r="H67" s="273">
        <f>IF(A67&lt;&gt;"","DERIVED","")</f>
        <v/>
      </c>
    </row>
    <row r="68">
      <c r="A68" s="273">
        <f>IF(DATA_IO!A65&lt;&gt;"",""&amp;DATA_IO!A65,"")</f>
        <v/>
      </c>
      <c r="B68" s="273">
        <f>IF(A68&lt;&gt;"","IO","")</f>
        <v/>
      </c>
      <c r="C68" s="273">
        <f>IF(A68&lt;&gt;"",""&amp;DATA_IO!B65,"")</f>
        <v/>
      </c>
      <c r="D68" s="273">
        <f>IF(A68&lt;&gt;"",""&amp;DATA_IO!C65,"")</f>
        <v/>
      </c>
      <c r="E68" s="273">
        <f>IF(A68&lt;&gt;"",""&amp;DATA_IO!D65,"")</f>
        <v/>
      </c>
      <c r="F68" s="274">
        <f>IF(A68&lt;&gt;"",DATA_IO!G65,"")</f>
        <v/>
      </c>
      <c r="G68" s="273">
        <f>IF(A68&lt;&gt;"",""&amp;DATA_IO!E65,"")</f>
        <v/>
      </c>
      <c r="H68" s="273">
        <f>IF(A68&lt;&gt;"","DERIVED","")</f>
        <v/>
      </c>
    </row>
    <row r="69">
      <c r="A69" s="273">
        <f>IF(DATA_IO!A66&lt;&gt;"",""&amp;DATA_IO!A66,"")</f>
        <v/>
      </c>
      <c r="B69" s="273">
        <f>IF(A69&lt;&gt;"","IO","")</f>
        <v/>
      </c>
      <c r="C69" s="273">
        <f>IF(A69&lt;&gt;"",""&amp;DATA_IO!B66,"")</f>
        <v/>
      </c>
      <c r="D69" s="273">
        <f>IF(A69&lt;&gt;"",""&amp;DATA_IO!C66,"")</f>
        <v/>
      </c>
      <c r="E69" s="273">
        <f>IF(A69&lt;&gt;"",""&amp;DATA_IO!D66,"")</f>
        <v/>
      </c>
      <c r="F69" s="274">
        <f>IF(A69&lt;&gt;"",DATA_IO!G66,"")</f>
        <v/>
      </c>
      <c r="G69" s="273">
        <f>IF(A69&lt;&gt;"",""&amp;DATA_IO!E66,"")</f>
        <v/>
      </c>
      <c r="H69" s="273">
        <f>IF(A69&lt;&gt;"","DERIVED","")</f>
        <v/>
      </c>
    </row>
    <row r="70">
      <c r="A70" s="273">
        <f>IF(DATA_IO!A67&lt;&gt;"",""&amp;DATA_IO!A67,"")</f>
        <v/>
      </c>
      <c r="B70" s="273">
        <f>IF(A70&lt;&gt;"","IO","")</f>
        <v/>
      </c>
      <c r="C70" s="273">
        <f>IF(A70&lt;&gt;"",""&amp;DATA_IO!B67,"")</f>
        <v/>
      </c>
      <c r="D70" s="273">
        <f>IF(A70&lt;&gt;"",""&amp;DATA_IO!C67,"")</f>
        <v/>
      </c>
      <c r="E70" s="273">
        <f>IF(A70&lt;&gt;"",""&amp;DATA_IO!D67,"")</f>
        <v/>
      </c>
      <c r="F70" s="274">
        <f>IF(A70&lt;&gt;"",DATA_IO!G67,"")</f>
        <v/>
      </c>
      <c r="G70" s="273">
        <f>IF(A70&lt;&gt;"",""&amp;DATA_IO!E67,"")</f>
        <v/>
      </c>
      <c r="H70" s="273">
        <f>IF(A70&lt;&gt;"","DERIVED","")</f>
        <v/>
      </c>
    </row>
    <row r="71">
      <c r="A71" s="273">
        <f>IF(DATA_IO!A68&lt;&gt;"",""&amp;DATA_IO!A68,"")</f>
        <v/>
      </c>
      <c r="B71" s="273">
        <f>IF(A71&lt;&gt;"","IO","")</f>
        <v/>
      </c>
      <c r="C71" s="273">
        <f>IF(A71&lt;&gt;"",""&amp;DATA_IO!B68,"")</f>
        <v/>
      </c>
      <c r="D71" s="273">
        <f>IF(A71&lt;&gt;"",""&amp;DATA_IO!C68,"")</f>
        <v/>
      </c>
      <c r="E71" s="273">
        <f>IF(A71&lt;&gt;"",""&amp;DATA_IO!D68,"")</f>
        <v/>
      </c>
      <c r="F71" s="274">
        <f>IF(A71&lt;&gt;"",DATA_IO!G68,"")</f>
        <v/>
      </c>
      <c r="G71" s="273">
        <f>IF(A71&lt;&gt;"",""&amp;DATA_IO!E68,"")</f>
        <v/>
      </c>
      <c r="H71" s="273">
        <f>IF(A71&lt;&gt;"","DERIVED","")</f>
        <v/>
      </c>
    </row>
    <row r="72">
      <c r="A72" s="273">
        <f>IF(DATA_IO!A69&lt;&gt;"",""&amp;DATA_IO!A69,"")</f>
        <v/>
      </c>
      <c r="B72" s="273">
        <f>IF(A72&lt;&gt;"","IO","")</f>
        <v/>
      </c>
      <c r="C72" s="273">
        <f>IF(A72&lt;&gt;"",""&amp;DATA_IO!B69,"")</f>
        <v/>
      </c>
      <c r="D72" s="273">
        <f>IF(A72&lt;&gt;"",""&amp;DATA_IO!C69,"")</f>
        <v/>
      </c>
      <c r="E72" s="273">
        <f>IF(A72&lt;&gt;"",""&amp;DATA_IO!D69,"")</f>
        <v/>
      </c>
      <c r="F72" s="274">
        <f>IF(A72&lt;&gt;"",DATA_IO!G69,"")</f>
        <v/>
      </c>
      <c r="G72" s="273">
        <f>IF(A72&lt;&gt;"",""&amp;DATA_IO!E69,"")</f>
        <v/>
      </c>
      <c r="H72" s="273">
        <f>IF(A72&lt;&gt;"","DERIVED","")</f>
        <v/>
      </c>
    </row>
    <row r="73">
      <c r="A73" s="273">
        <f>IF(DATA_IO!A70&lt;&gt;"",""&amp;DATA_IO!A70,"")</f>
        <v/>
      </c>
      <c r="B73" s="273">
        <f>IF(A73&lt;&gt;"","IO","")</f>
        <v/>
      </c>
      <c r="C73" s="273">
        <f>IF(A73&lt;&gt;"",""&amp;DATA_IO!B70,"")</f>
        <v/>
      </c>
      <c r="D73" s="273">
        <f>IF(A73&lt;&gt;"",""&amp;DATA_IO!C70,"")</f>
        <v/>
      </c>
      <c r="E73" s="273">
        <f>IF(A73&lt;&gt;"",""&amp;DATA_IO!D70,"")</f>
        <v/>
      </c>
      <c r="F73" s="274">
        <f>IF(A73&lt;&gt;"",DATA_IO!G70,"")</f>
        <v/>
      </c>
      <c r="G73" s="273">
        <f>IF(A73&lt;&gt;"",""&amp;DATA_IO!E70,"")</f>
        <v/>
      </c>
      <c r="H73" s="273">
        <f>IF(A73&lt;&gt;"","DERIVED","")</f>
        <v/>
      </c>
    </row>
    <row r="74">
      <c r="A74" s="273">
        <f>IF(DATA_IO!A71&lt;&gt;"",""&amp;DATA_IO!A71,"")</f>
        <v/>
      </c>
      <c r="B74" s="273">
        <f>IF(A74&lt;&gt;"","IO","")</f>
        <v/>
      </c>
      <c r="C74" s="273">
        <f>IF(A74&lt;&gt;"",""&amp;DATA_IO!B71,"")</f>
        <v/>
      </c>
      <c r="D74" s="273">
        <f>IF(A74&lt;&gt;"",""&amp;DATA_IO!C71,"")</f>
        <v/>
      </c>
      <c r="E74" s="273">
        <f>IF(A74&lt;&gt;"",""&amp;DATA_IO!D71,"")</f>
        <v/>
      </c>
      <c r="F74" s="274">
        <f>IF(A74&lt;&gt;"",DATA_IO!G71,"")</f>
        <v/>
      </c>
      <c r="G74" s="273">
        <f>IF(A74&lt;&gt;"",""&amp;DATA_IO!E71,"")</f>
        <v/>
      </c>
      <c r="H74" s="273">
        <f>IF(A74&lt;&gt;"","DERIVED","")</f>
        <v/>
      </c>
    </row>
    <row r="75">
      <c r="A75" s="273">
        <f>IF(DATA_IO!A72&lt;&gt;"",""&amp;DATA_IO!A72,"")</f>
        <v/>
      </c>
      <c r="B75" s="273">
        <f>IF(A75&lt;&gt;"","IO","")</f>
        <v/>
      </c>
      <c r="C75" s="273">
        <f>IF(A75&lt;&gt;"",""&amp;DATA_IO!B72,"")</f>
        <v/>
      </c>
      <c r="D75" s="273">
        <f>IF(A75&lt;&gt;"",""&amp;DATA_IO!C72,"")</f>
        <v/>
      </c>
      <c r="E75" s="273">
        <f>IF(A75&lt;&gt;"",""&amp;DATA_IO!D72,"")</f>
        <v/>
      </c>
      <c r="F75" s="274">
        <f>IF(A75&lt;&gt;"",DATA_IO!G72,"")</f>
        <v/>
      </c>
      <c r="G75" s="273">
        <f>IF(A75&lt;&gt;"",""&amp;DATA_IO!E72,"")</f>
        <v/>
      </c>
      <c r="H75" s="273">
        <f>IF(A75&lt;&gt;"","DERIVED","")</f>
        <v/>
      </c>
    </row>
    <row r="76">
      <c r="A76" s="273">
        <f>IF(DATA_IO!A73&lt;&gt;"",""&amp;DATA_IO!A73,"")</f>
        <v/>
      </c>
      <c r="B76" s="273">
        <f>IF(A76&lt;&gt;"","IO","")</f>
        <v/>
      </c>
      <c r="C76" s="273">
        <f>IF(A76&lt;&gt;"",""&amp;DATA_IO!B73,"")</f>
        <v/>
      </c>
      <c r="D76" s="273">
        <f>IF(A76&lt;&gt;"",""&amp;DATA_IO!C73,"")</f>
        <v/>
      </c>
      <c r="E76" s="273">
        <f>IF(A76&lt;&gt;"",""&amp;DATA_IO!D73,"")</f>
        <v/>
      </c>
      <c r="F76" s="274">
        <f>IF(A76&lt;&gt;"",DATA_IO!G73,"")</f>
        <v/>
      </c>
      <c r="G76" s="273">
        <f>IF(A76&lt;&gt;"",""&amp;DATA_IO!E73,"")</f>
        <v/>
      </c>
      <c r="H76" s="273">
        <f>IF(A76&lt;&gt;"","DERIVED","")</f>
        <v/>
      </c>
    </row>
    <row r="77">
      <c r="A77" s="273">
        <f>IF(DATA_IO!A74&lt;&gt;"",""&amp;DATA_IO!A74,"")</f>
        <v/>
      </c>
      <c r="B77" s="273">
        <f>IF(A77&lt;&gt;"","IO","")</f>
        <v/>
      </c>
      <c r="C77" s="273">
        <f>IF(A77&lt;&gt;"",""&amp;DATA_IO!B74,"")</f>
        <v/>
      </c>
      <c r="D77" s="273">
        <f>IF(A77&lt;&gt;"",""&amp;DATA_IO!C74,"")</f>
        <v/>
      </c>
      <c r="E77" s="273">
        <f>IF(A77&lt;&gt;"",""&amp;DATA_IO!D74,"")</f>
        <v/>
      </c>
      <c r="F77" s="274">
        <f>IF(A77&lt;&gt;"",DATA_IO!G74,"")</f>
        <v/>
      </c>
      <c r="G77" s="273">
        <f>IF(A77&lt;&gt;"",""&amp;DATA_IO!E74,"")</f>
        <v/>
      </c>
      <c r="H77" s="273">
        <f>IF(A77&lt;&gt;"","DERIVED","")</f>
        <v/>
      </c>
    </row>
    <row r="78">
      <c r="A78" s="273">
        <f>IF(DATA_IO!A75&lt;&gt;"",""&amp;DATA_IO!A75,"")</f>
        <v/>
      </c>
      <c r="B78" s="273">
        <f>IF(A78&lt;&gt;"","IO","")</f>
        <v/>
      </c>
      <c r="C78" s="273">
        <f>IF(A78&lt;&gt;"",""&amp;DATA_IO!B75,"")</f>
        <v/>
      </c>
      <c r="D78" s="273">
        <f>IF(A78&lt;&gt;"",""&amp;DATA_IO!C75,"")</f>
        <v/>
      </c>
      <c r="E78" s="273">
        <f>IF(A78&lt;&gt;"",""&amp;DATA_IO!D75,"")</f>
        <v/>
      </c>
      <c r="F78" s="274">
        <f>IF(A78&lt;&gt;"",DATA_IO!G75,"")</f>
        <v/>
      </c>
      <c r="G78" s="273">
        <f>IF(A78&lt;&gt;"",""&amp;DATA_IO!E75,"")</f>
        <v/>
      </c>
      <c r="H78" s="273">
        <f>IF(A78&lt;&gt;"","DERIVED","")</f>
        <v/>
      </c>
    </row>
    <row r="79">
      <c r="A79" s="273">
        <f>IF(DATA_IO!A76&lt;&gt;"",""&amp;DATA_IO!A76,"")</f>
        <v/>
      </c>
      <c r="B79" s="273">
        <f>IF(A79&lt;&gt;"","IO","")</f>
        <v/>
      </c>
      <c r="C79" s="273">
        <f>IF(A79&lt;&gt;"",""&amp;DATA_IO!B76,"")</f>
        <v/>
      </c>
      <c r="D79" s="273">
        <f>IF(A79&lt;&gt;"",""&amp;DATA_IO!C76,"")</f>
        <v/>
      </c>
      <c r="E79" s="273">
        <f>IF(A79&lt;&gt;"",""&amp;DATA_IO!D76,"")</f>
        <v/>
      </c>
      <c r="F79" s="274">
        <f>IF(A79&lt;&gt;"",DATA_IO!G76,"")</f>
        <v/>
      </c>
      <c r="G79" s="273">
        <f>IF(A79&lt;&gt;"",""&amp;DATA_IO!E76,"")</f>
        <v/>
      </c>
      <c r="H79" s="273">
        <f>IF(A79&lt;&gt;"","DERIVED","")</f>
        <v/>
      </c>
    </row>
    <row r="80">
      <c r="A80" s="273">
        <f>IF(DATA_IO!A77&lt;&gt;"",""&amp;DATA_IO!A77,"")</f>
        <v/>
      </c>
      <c r="B80" s="273">
        <f>IF(A80&lt;&gt;"","IO","")</f>
        <v/>
      </c>
      <c r="C80" s="273">
        <f>IF(A80&lt;&gt;"",""&amp;DATA_IO!B77,"")</f>
        <v/>
      </c>
      <c r="D80" s="273">
        <f>IF(A80&lt;&gt;"",""&amp;DATA_IO!C77,"")</f>
        <v/>
      </c>
      <c r="E80" s="273">
        <f>IF(A80&lt;&gt;"",""&amp;DATA_IO!D77,"")</f>
        <v/>
      </c>
      <c r="F80" s="274">
        <f>IF(A80&lt;&gt;"",DATA_IO!G77,"")</f>
        <v/>
      </c>
      <c r="G80" s="273">
        <f>IF(A80&lt;&gt;"",""&amp;DATA_IO!E77,"")</f>
        <v/>
      </c>
      <c r="H80" s="273">
        <f>IF(A80&lt;&gt;"","DERIVED","")</f>
        <v/>
      </c>
    </row>
    <row r="81">
      <c r="A81" s="273">
        <f>IF(DATA_IO!A78&lt;&gt;"",""&amp;DATA_IO!A78,"")</f>
        <v/>
      </c>
      <c r="B81" s="273">
        <f>IF(A81&lt;&gt;"","IO","")</f>
        <v/>
      </c>
      <c r="C81" s="273">
        <f>IF(A81&lt;&gt;"",""&amp;DATA_IO!B78,"")</f>
        <v/>
      </c>
      <c r="D81" s="273">
        <f>IF(A81&lt;&gt;"",""&amp;DATA_IO!C78,"")</f>
        <v/>
      </c>
      <c r="E81" s="273">
        <f>IF(A81&lt;&gt;"",""&amp;DATA_IO!D78,"")</f>
        <v/>
      </c>
      <c r="F81" s="274">
        <f>IF(A81&lt;&gt;"",DATA_IO!G78,"")</f>
        <v/>
      </c>
      <c r="G81" s="273">
        <f>IF(A81&lt;&gt;"",""&amp;DATA_IO!E78,"")</f>
        <v/>
      </c>
      <c r="H81" s="273">
        <f>IF(A81&lt;&gt;"","DERIVED","")</f>
        <v/>
      </c>
    </row>
    <row r="82">
      <c r="A82" s="273">
        <f>IF(DATA_IO!A79&lt;&gt;"",""&amp;DATA_IO!A79,"")</f>
        <v/>
      </c>
      <c r="B82" s="273">
        <f>IF(A82&lt;&gt;"","IO","")</f>
        <v/>
      </c>
      <c r="C82" s="273">
        <f>IF(A82&lt;&gt;"",""&amp;DATA_IO!B79,"")</f>
        <v/>
      </c>
      <c r="D82" s="273">
        <f>IF(A82&lt;&gt;"",""&amp;DATA_IO!C79,"")</f>
        <v/>
      </c>
      <c r="E82" s="273">
        <f>IF(A82&lt;&gt;"",""&amp;DATA_IO!D79,"")</f>
        <v/>
      </c>
      <c r="F82" s="274">
        <f>IF(A82&lt;&gt;"",DATA_IO!G79,"")</f>
        <v/>
      </c>
      <c r="G82" s="273">
        <f>IF(A82&lt;&gt;"",""&amp;DATA_IO!E79,"")</f>
        <v/>
      </c>
      <c r="H82" s="273">
        <f>IF(A82&lt;&gt;"","DERIVED","")</f>
        <v/>
      </c>
    </row>
    <row r="83">
      <c r="A83" s="273">
        <f>IF(DATA_IO!A80&lt;&gt;"",""&amp;DATA_IO!A80,"")</f>
        <v/>
      </c>
      <c r="B83" s="273">
        <f>IF(A83&lt;&gt;"","IO","")</f>
        <v/>
      </c>
      <c r="C83" s="273">
        <f>IF(A83&lt;&gt;"",""&amp;DATA_IO!B80,"")</f>
        <v/>
      </c>
      <c r="D83" s="273">
        <f>IF(A83&lt;&gt;"",""&amp;DATA_IO!C80,"")</f>
        <v/>
      </c>
      <c r="E83" s="273">
        <f>IF(A83&lt;&gt;"",""&amp;DATA_IO!D80,"")</f>
        <v/>
      </c>
      <c r="F83" s="274">
        <f>IF(A83&lt;&gt;"",DATA_IO!G80,"")</f>
        <v/>
      </c>
      <c r="G83" s="273">
        <f>IF(A83&lt;&gt;"",""&amp;DATA_IO!E80,"")</f>
        <v/>
      </c>
      <c r="H83" s="273">
        <f>IF(A83&lt;&gt;"","DERIVED","")</f>
        <v/>
      </c>
    </row>
    <row r="84">
      <c r="A84" s="273">
        <f>IF(DATA_IO!A81&lt;&gt;"",""&amp;DATA_IO!A81,"")</f>
        <v/>
      </c>
      <c r="B84" s="273">
        <f>IF(A84&lt;&gt;"","IO","")</f>
        <v/>
      </c>
      <c r="C84" s="273">
        <f>IF(A84&lt;&gt;"",""&amp;DATA_IO!B81,"")</f>
        <v/>
      </c>
      <c r="D84" s="273">
        <f>IF(A84&lt;&gt;"",""&amp;DATA_IO!C81,"")</f>
        <v/>
      </c>
      <c r="E84" s="273">
        <f>IF(A84&lt;&gt;"",""&amp;DATA_IO!D81,"")</f>
        <v/>
      </c>
      <c r="F84" s="274">
        <f>IF(A84&lt;&gt;"",DATA_IO!G81,"")</f>
        <v/>
      </c>
      <c r="G84" s="273">
        <f>IF(A84&lt;&gt;"",""&amp;DATA_IO!E81,"")</f>
        <v/>
      </c>
      <c r="H84" s="273">
        <f>IF(A84&lt;&gt;"","DERIVED","")</f>
        <v/>
      </c>
    </row>
    <row r="85">
      <c r="A85" s="273">
        <f>IF(DATA_IO!A82&lt;&gt;"",""&amp;DATA_IO!A82,"")</f>
        <v/>
      </c>
      <c r="B85" s="273">
        <f>IF(A85&lt;&gt;"","IO","")</f>
        <v/>
      </c>
      <c r="C85" s="273">
        <f>IF(A85&lt;&gt;"",""&amp;DATA_IO!B82,"")</f>
        <v/>
      </c>
      <c r="D85" s="273">
        <f>IF(A85&lt;&gt;"",""&amp;DATA_IO!C82,"")</f>
        <v/>
      </c>
      <c r="E85" s="273">
        <f>IF(A85&lt;&gt;"",""&amp;DATA_IO!D82,"")</f>
        <v/>
      </c>
      <c r="F85" s="274">
        <f>IF(A85&lt;&gt;"",DATA_IO!G82,"")</f>
        <v/>
      </c>
      <c r="G85" s="273">
        <f>IF(A85&lt;&gt;"",""&amp;DATA_IO!E82,"")</f>
        <v/>
      </c>
      <c r="H85" s="273">
        <f>IF(A85&lt;&gt;"","DERIVED","")</f>
        <v/>
      </c>
    </row>
    <row r="86">
      <c r="A86" s="273">
        <f>IF(DATA_IO!A83&lt;&gt;"",""&amp;DATA_IO!A83,"")</f>
        <v/>
      </c>
      <c r="B86" s="273">
        <f>IF(A86&lt;&gt;"","IO","")</f>
        <v/>
      </c>
      <c r="C86" s="273">
        <f>IF(A86&lt;&gt;"",""&amp;DATA_IO!B83,"")</f>
        <v/>
      </c>
      <c r="D86" s="273">
        <f>IF(A86&lt;&gt;"",""&amp;DATA_IO!C83,"")</f>
        <v/>
      </c>
      <c r="E86" s="273">
        <f>IF(A86&lt;&gt;"",""&amp;DATA_IO!D83,"")</f>
        <v/>
      </c>
      <c r="F86" s="274">
        <f>IF(A86&lt;&gt;"",DATA_IO!G83,"")</f>
        <v/>
      </c>
      <c r="G86" s="273">
        <f>IF(A86&lt;&gt;"",""&amp;DATA_IO!E83,"")</f>
        <v/>
      </c>
      <c r="H86" s="273">
        <f>IF(A86&lt;&gt;"","DERIVED","")</f>
        <v/>
      </c>
    </row>
    <row r="87">
      <c r="A87" s="273">
        <f>IF(DATA_IO!A84&lt;&gt;"",""&amp;DATA_IO!A84,"")</f>
        <v/>
      </c>
      <c r="B87" s="273">
        <f>IF(A87&lt;&gt;"","IO","")</f>
        <v/>
      </c>
      <c r="C87" s="273">
        <f>IF(A87&lt;&gt;"",""&amp;DATA_IO!B84,"")</f>
        <v/>
      </c>
      <c r="D87" s="273">
        <f>IF(A87&lt;&gt;"",""&amp;DATA_IO!C84,"")</f>
        <v/>
      </c>
      <c r="E87" s="273">
        <f>IF(A87&lt;&gt;"",""&amp;DATA_IO!D84,"")</f>
        <v/>
      </c>
      <c r="F87" s="274">
        <f>IF(A87&lt;&gt;"",DATA_IO!G84,"")</f>
        <v/>
      </c>
      <c r="G87" s="273">
        <f>IF(A87&lt;&gt;"",""&amp;DATA_IO!E84,"")</f>
        <v/>
      </c>
      <c r="H87" s="273">
        <f>IF(A87&lt;&gt;"","DERIVED","")</f>
        <v/>
      </c>
    </row>
    <row r="88">
      <c r="A88" s="273">
        <f>IF(DATA_IO!A85&lt;&gt;"",""&amp;DATA_IO!A85,"")</f>
        <v/>
      </c>
      <c r="B88" s="273">
        <f>IF(A88&lt;&gt;"","IO","")</f>
        <v/>
      </c>
      <c r="C88" s="273">
        <f>IF(A88&lt;&gt;"",""&amp;DATA_IO!B85,"")</f>
        <v/>
      </c>
      <c r="D88" s="273">
        <f>IF(A88&lt;&gt;"",""&amp;DATA_IO!C85,"")</f>
        <v/>
      </c>
      <c r="E88" s="273">
        <f>IF(A88&lt;&gt;"",""&amp;DATA_IO!D85,"")</f>
        <v/>
      </c>
      <c r="F88" s="274">
        <f>IF(A88&lt;&gt;"",DATA_IO!G85,"")</f>
        <v/>
      </c>
      <c r="G88" s="273">
        <f>IF(A88&lt;&gt;"",""&amp;DATA_IO!E85,"")</f>
        <v/>
      </c>
      <c r="H88" s="273">
        <f>IF(A88&lt;&gt;"","DERIVED","")</f>
        <v/>
      </c>
    </row>
    <row r="89">
      <c r="A89" s="273">
        <f>IF(DATA_IO!A86&lt;&gt;"",""&amp;DATA_IO!A86,"")</f>
        <v/>
      </c>
      <c r="B89" s="273">
        <f>IF(A89&lt;&gt;"","IO","")</f>
        <v/>
      </c>
      <c r="C89" s="273">
        <f>IF(A89&lt;&gt;"",""&amp;DATA_IO!B86,"")</f>
        <v/>
      </c>
      <c r="D89" s="273">
        <f>IF(A89&lt;&gt;"",""&amp;DATA_IO!C86,"")</f>
        <v/>
      </c>
      <c r="E89" s="273">
        <f>IF(A89&lt;&gt;"",""&amp;DATA_IO!D86,"")</f>
        <v/>
      </c>
      <c r="F89" s="274">
        <f>IF(A89&lt;&gt;"",DATA_IO!G86,"")</f>
        <v/>
      </c>
      <c r="G89" s="273">
        <f>IF(A89&lt;&gt;"",""&amp;DATA_IO!E86,"")</f>
        <v/>
      </c>
      <c r="H89" s="273">
        <f>IF(A89&lt;&gt;"","DERIVED","")</f>
        <v/>
      </c>
    </row>
    <row r="90">
      <c r="A90" s="273">
        <f>IF(DATA_IO!A87&lt;&gt;"",""&amp;DATA_IO!A87,"")</f>
        <v/>
      </c>
      <c r="B90" s="273">
        <f>IF(A90&lt;&gt;"","IO","")</f>
        <v/>
      </c>
      <c r="C90" s="273">
        <f>IF(A90&lt;&gt;"",""&amp;DATA_IO!B87,"")</f>
        <v/>
      </c>
      <c r="D90" s="273">
        <f>IF(A90&lt;&gt;"",""&amp;DATA_IO!C87,"")</f>
        <v/>
      </c>
      <c r="E90" s="273">
        <f>IF(A90&lt;&gt;"",""&amp;DATA_IO!D87,"")</f>
        <v/>
      </c>
      <c r="F90" s="274">
        <f>IF(A90&lt;&gt;"",DATA_IO!G87,"")</f>
        <v/>
      </c>
      <c r="G90" s="273">
        <f>IF(A90&lt;&gt;"",""&amp;DATA_IO!E87,"")</f>
        <v/>
      </c>
      <c r="H90" s="273">
        <f>IF(A90&lt;&gt;"","DERIVED","")</f>
        <v/>
      </c>
    </row>
    <row r="91">
      <c r="A91" s="273">
        <f>IF(DATA_IO!A88&lt;&gt;"",""&amp;DATA_IO!A88,"")</f>
        <v/>
      </c>
      <c r="B91" s="273">
        <f>IF(A91&lt;&gt;"","IO","")</f>
        <v/>
      </c>
      <c r="C91" s="273">
        <f>IF(A91&lt;&gt;"",""&amp;DATA_IO!B88,"")</f>
        <v/>
      </c>
      <c r="D91" s="273">
        <f>IF(A91&lt;&gt;"",""&amp;DATA_IO!C88,"")</f>
        <v/>
      </c>
      <c r="E91" s="273">
        <f>IF(A91&lt;&gt;"",""&amp;DATA_IO!D88,"")</f>
        <v/>
      </c>
      <c r="F91" s="274">
        <f>IF(A91&lt;&gt;"",DATA_IO!G88,"")</f>
        <v/>
      </c>
      <c r="G91" s="273">
        <f>IF(A91&lt;&gt;"",""&amp;DATA_IO!E88,"")</f>
        <v/>
      </c>
      <c r="H91" s="273">
        <f>IF(A91&lt;&gt;"","DERIVED","")</f>
        <v/>
      </c>
    </row>
    <row r="92">
      <c r="A92" s="273">
        <f>IF(DATA_IO!A89&lt;&gt;"",""&amp;DATA_IO!A89,"")</f>
        <v/>
      </c>
      <c r="B92" s="273">
        <f>IF(A92&lt;&gt;"","IO","")</f>
        <v/>
      </c>
      <c r="C92" s="273">
        <f>IF(A92&lt;&gt;"",""&amp;DATA_IO!B89,"")</f>
        <v/>
      </c>
      <c r="D92" s="273">
        <f>IF(A92&lt;&gt;"",""&amp;DATA_IO!C89,"")</f>
        <v/>
      </c>
      <c r="E92" s="273">
        <f>IF(A92&lt;&gt;"",""&amp;DATA_IO!D89,"")</f>
        <v/>
      </c>
      <c r="F92" s="274">
        <f>IF(A92&lt;&gt;"",DATA_IO!G89,"")</f>
        <v/>
      </c>
      <c r="G92" s="273">
        <f>IF(A92&lt;&gt;"",""&amp;DATA_IO!E89,"")</f>
        <v/>
      </c>
      <c r="H92" s="273">
        <f>IF(A92&lt;&gt;"","DERIVED","")</f>
        <v/>
      </c>
    </row>
    <row r="93">
      <c r="A93" s="273">
        <f>IF(DATA_IO!A90&lt;&gt;"",""&amp;DATA_IO!A90,"")</f>
        <v/>
      </c>
      <c r="B93" s="273">
        <f>IF(A93&lt;&gt;"","IO","")</f>
        <v/>
      </c>
      <c r="C93" s="273">
        <f>IF(A93&lt;&gt;"",""&amp;DATA_IO!B90,"")</f>
        <v/>
      </c>
      <c r="D93" s="273">
        <f>IF(A93&lt;&gt;"",""&amp;DATA_IO!C90,"")</f>
        <v/>
      </c>
      <c r="E93" s="273">
        <f>IF(A93&lt;&gt;"",""&amp;DATA_IO!D90,"")</f>
        <v/>
      </c>
      <c r="F93" s="274">
        <f>IF(A93&lt;&gt;"",DATA_IO!G90,"")</f>
        <v/>
      </c>
      <c r="G93" s="273">
        <f>IF(A93&lt;&gt;"",""&amp;DATA_IO!E90,"")</f>
        <v/>
      </c>
      <c r="H93" s="273">
        <f>IF(A93&lt;&gt;"","DERIVED","")</f>
        <v/>
      </c>
    </row>
    <row r="94">
      <c r="A94" s="273">
        <f>IF(DATA_IO!A91&lt;&gt;"",""&amp;DATA_IO!A91,"")</f>
        <v/>
      </c>
      <c r="B94" s="273">
        <f>IF(A94&lt;&gt;"","IO","")</f>
        <v/>
      </c>
      <c r="C94" s="273">
        <f>IF(A94&lt;&gt;"",""&amp;DATA_IO!B91,"")</f>
        <v/>
      </c>
      <c r="D94" s="273">
        <f>IF(A94&lt;&gt;"",""&amp;DATA_IO!C91,"")</f>
        <v/>
      </c>
      <c r="E94" s="273">
        <f>IF(A94&lt;&gt;"",""&amp;DATA_IO!D91,"")</f>
        <v/>
      </c>
      <c r="F94" s="274">
        <f>IF(A94&lt;&gt;"",DATA_IO!G91,"")</f>
        <v/>
      </c>
      <c r="G94" s="273">
        <f>IF(A94&lt;&gt;"",""&amp;DATA_IO!E91,"")</f>
        <v/>
      </c>
      <c r="H94" s="273">
        <f>IF(A94&lt;&gt;"","DERIVED","")</f>
        <v/>
      </c>
    </row>
    <row r="95">
      <c r="A95" s="273">
        <f>IF(DATA_IO!A92&lt;&gt;"",""&amp;DATA_IO!A92,"")</f>
        <v/>
      </c>
      <c r="B95" s="273">
        <f>IF(A95&lt;&gt;"","IO","")</f>
        <v/>
      </c>
      <c r="C95" s="273">
        <f>IF(A95&lt;&gt;"",""&amp;DATA_IO!B92,"")</f>
        <v/>
      </c>
      <c r="D95" s="273">
        <f>IF(A95&lt;&gt;"",""&amp;DATA_IO!C92,"")</f>
        <v/>
      </c>
      <c r="E95" s="273">
        <f>IF(A95&lt;&gt;"",""&amp;DATA_IO!D92,"")</f>
        <v/>
      </c>
      <c r="F95" s="274">
        <f>IF(A95&lt;&gt;"",DATA_IO!G92,"")</f>
        <v/>
      </c>
      <c r="G95" s="273">
        <f>IF(A95&lt;&gt;"",""&amp;DATA_IO!E92,"")</f>
        <v/>
      </c>
      <c r="H95" s="273">
        <f>IF(A95&lt;&gt;"","DERIVED","")</f>
        <v/>
      </c>
    </row>
    <row r="96">
      <c r="A96" s="273">
        <f>IF(DATA_IO!A93&lt;&gt;"",""&amp;DATA_IO!A93,"")</f>
        <v/>
      </c>
      <c r="B96" s="273">
        <f>IF(A96&lt;&gt;"","IO","")</f>
        <v/>
      </c>
      <c r="C96" s="273">
        <f>IF(A96&lt;&gt;"",""&amp;DATA_IO!B93,"")</f>
        <v/>
      </c>
      <c r="D96" s="273">
        <f>IF(A96&lt;&gt;"",""&amp;DATA_IO!C93,"")</f>
        <v/>
      </c>
      <c r="E96" s="273">
        <f>IF(A96&lt;&gt;"",""&amp;DATA_IO!D93,"")</f>
        <v/>
      </c>
      <c r="F96" s="274">
        <f>IF(A96&lt;&gt;"",DATA_IO!G93,"")</f>
        <v/>
      </c>
      <c r="G96" s="273">
        <f>IF(A96&lt;&gt;"",""&amp;DATA_IO!E93,"")</f>
        <v/>
      </c>
      <c r="H96" s="273">
        <f>IF(A96&lt;&gt;"","DERIVED","")</f>
        <v/>
      </c>
    </row>
    <row r="97">
      <c r="A97" s="273">
        <f>IF(DATA_IO!A94&lt;&gt;"",""&amp;DATA_IO!A94,"")</f>
        <v/>
      </c>
      <c r="B97" s="273">
        <f>IF(A97&lt;&gt;"","IO","")</f>
        <v/>
      </c>
      <c r="C97" s="273">
        <f>IF(A97&lt;&gt;"",""&amp;DATA_IO!B94,"")</f>
        <v/>
      </c>
      <c r="D97" s="273">
        <f>IF(A97&lt;&gt;"",""&amp;DATA_IO!C94,"")</f>
        <v/>
      </c>
      <c r="E97" s="273">
        <f>IF(A97&lt;&gt;"",""&amp;DATA_IO!D94,"")</f>
        <v/>
      </c>
      <c r="F97" s="274">
        <f>IF(A97&lt;&gt;"",DATA_IO!G94,"")</f>
        <v/>
      </c>
      <c r="G97" s="273">
        <f>IF(A97&lt;&gt;"",""&amp;DATA_IO!E94,"")</f>
        <v/>
      </c>
      <c r="H97" s="273">
        <f>IF(A97&lt;&gt;"","DERIVED","")</f>
        <v/>
      </c>
    </row>
    <row r="98">
      <c r="A98" s="273">
        <f>IF(DATA_IO!A95&lt;&gt;"",""&amp;DATA_IO!A95,"")</f>
        <v/>
      </c>
      <c r="B98" s="273">
        <f>IF(A98&lt;&gt;"","IO","")</f>
        <v/>
      </c>
      <c r="C98" s="273">
        <f>IF(A98&lt;&gt;"",""&amp;DATA_IO!B95,"")</f>
        <v/>
      </c>
      <c r="D98" s="273">
        <f>IF(A98&lt;&gt;"",""&amp;DATA_IO!C95,"")</f>
        <v/>
      </c>
      <c r="E98" s="273">
        <f>IF(A98&lt;&gt;"",""&amp;DATA_IO!D95,"")</f>
        <v/>
      </c>
      <c r="F98" s="274">
        <f>IF(A98&lt;&gt;"",DATA_IO!G95,"")</f>
        <v/>
      </c>
      <c r="G98" s="273">
        <f>IF(A98&lt;&gt;"",""&amp;DATA_IO!E95,"")</f>
        <v/>
      </c>
      <c r="H98" s="273">
        <f>IF(A98&lt;&gt;"","DERIVED","")</f>
        <v/>
      </c>
    </row>
    <row r="99">
      <c r="A99" s="273">
        <f>IF(DATA_IO!A96&lt;&gt;"",""&amp;DATA_IO!A96,"")</f>
        <v/>
      </c>
      <c r="B99" s="273">
        <f>IF(A99&lt;&gt;"","IO","")</f>
        <v/>
      </c>
      <c r="C99" s="273">
        <f>IF(A99&lt;&gt;"",""&amp;DATA_IO!B96,"")</f>
        <v/>
      </c>
      <c r="D99" s="273">
        <f>IF(A99&lt;&gt;"",""&amp;DATA_IO!C96,"")</f>
        <v/>
      </c>
      <c r="E99" s="273">
        <f>IF(A99&lt;&gt;"",""&amp;DATA_IO!D96,"")</f>
        <v/>
      </c>
      <c r="F99" s="274">
        <f>IF(A99&lt;&gt;"",DATA_IO!G96,"")</f>
        <v/>
      </c>
      <c r="G99" s="273">
        <f>IF(A99&lt;&gt;"",""&amp;DATA_IO!E96,"")</f>
        <v/>
      </c>
      <c r="H99" s="273">
        <f>IF(A99&lt;&gt;"","DERIVED","")</f>
        <v/>
      </c>
    </row>
    <row r="100">
      <c r="A100" s="273">
        <f>IF(DATA_IO!A97&lt;&gt;"",""&amp;DATA_IO!A97,"")</f>
        <v/>
      </c>
      <c r="B100" s="273">
        <f>IF(A100&lt;&gt;"","IO","")</f>
        <v/>
      </c>
      <c r="C100" s="273">
        <f>IF(A100&lt;&gt;"",""&amp;DATA_IO!B97,"")</f>
        <v/>
      </c>
      <c r="D100" s="273">
        <f>IF(A100&lt;&gt;"",""&amp;DATA_IO!C97,"")</f>
        <v/>
      </c>
      <c r="E100" s="273">
        <f>IF(A100&lt;&gt;"",""&amp;DATA_IO!D97,"")</f>
        <v/>
      </c>
      <c r="F100" s="274">
        <f>IF(A100&lt;&gt;"",DATA_IO!G97,"")</f>
        <v/>
      </c>
      <c r="G100" s="273">
        <f>IF(A100&lt;&gt;"",""&amp;DATA_IO!E97,"")</f>
        <v/>
      </c>
      <c r="H100" s="273">
        <f>IF(A100&lt;&gt;"","DERIVED","")</f>
        <v/>
      </c>
    </row>
    <row r="101">
      <c r="A101" s="273">
        <f>IF(DATA_IO!A98&lt;&gt;"",""&amp;DATA_IO!A98,"")</f>
        <v/>
      </c>
      <c r="B101" s="273">
        <f>IF(A101&lt;&gt;"","IO","")</f>
        <v/>
      </c>
      <c r="C101" s="273">
        <f>IF(A101&lt;&gt;"",""&amp;DATA_IO!B98,"")</f>
        <v/>
      </c>
      <c r="D101" s="273">
        <f>IF(A101&lt;&gt;"",""&amp;DATA_IO!C98,"")</f>
        <v/>
      </c>
      <c r="E101" s="273">
        <f>IF(A101&lt;&gt;"",""&amp;DATA_IO!D98,"")</f>
        <v/>
      </c>
      <c r="F101" s="274">
        <f>IF(A101&lt;&gt;"",DATA_IO!G98,"")</f>
        <v/>
      </c>
      <c r="G101" s="273">
        <f>IF(A101&lt;&gt;"",""&amp;DATA_IO!E98,"")</f>
        <v/>
      </c>
      <c r="H101" s="273">
        <f>IF(A101&lt;&gt;"","DERIVED","")</f>
        <v/>
      </c>
    </row>
    <row r="102">
      <c r="A102" s="273">
        <f>IF(DATA_IO!A99&lt;&gt;"",""&amp;DATA_IO!A99,"")</f>
        <v/>
      </c>
      <c r="B102" s="273">
        <f>IF(A102&lt;&gt;"","IO","")</f>
        <v/>
      </c>
      <c r="C102" s="273">
        <f>IF(A102&lt;&gt;"",""&amp;DATA_IO!B99,"")</f>
        <v/>
      </c>
      <c r="D102" s="273">
        <f>IF(A102&lt;&gt;"",""&amp;DATA_IO!C99,"")</f>
        <v/>
      </c>
      <c r="E102" s="273">
        <f>IF(A102&lt;&gt;"",""&amp;DATA_IO!D99,"")</f>
        <v/>
      </c>
      <c r="F102" s="274">
        <f>IF(A102&lt;&gt;"",DATA_IO!G99,"")</f>
        <v/>
      </c>
      <c r="G102" s="273">
        <f>IF(A102&lt;&gt;"",""&amp;DATA_IO!E99,"")</f>
        <v/>
      </c>
      <c r="H102" s="273">
        <f>IF(A102&lt;&gt;"","DERIVED","")</f>
        <v/>
      </c>
    </row>
    <row r="103">
      <c r="A103" s="273">
        <f>IF(DATA_IO!A100&lt;&gt;"",""&amp;DATA_IO!A100,"")</f>
        <v/>
      </c>
      <c r="B103" s="273">
        <f>IF(A103&lt;&gt;"","IO","")</f>
        <v/>
      </c>
      <c r="C103" s="273">
        <f>IF(A103&lt;&gt;"",""&amp;DATA_IO!B100,"")</f>
        <v/>
      </c>
      <c r="D103" s="273">
        <f>IF(A103&lt;&gt;"",""&amp;DATA_IO!C100,"")</f>
        <v/>
      </c>
      <c r="E103" s="273">
        <f>IF(A103&lt;&gt;"",""&amp;DATA_IO!D100,"")</f>
        <v/>
      </c>
      <c r="F103" s="274">
        <f>IF(A103&lt;&gt;"",DATA_IO!G100,"")</f>
        <v/>
      </c>
      <c r="G103" s="273">
        <f>IF(A103&lt;&gt;"",""&amp;DATA_IO!E100,"")</f>
        <v/>
      </c>
      <c r="H103" s="273">
        <f>IF(A103&lt;&gt;"","DERIVED","")</f>
        <v/>
      </c>
    </row>
    <row r="104">
      <c r="A104" s="273">
        <f>IF(DATA_IO!A101&lt;&gt;"",""&amp;DATA_IO!A101,"")</f>
        <v/>
      </c>
      <c r="B104" s="273">
        <f>IF(A104&lt;&gt;"","IO","")</f>
        <v/>
      </c>
      <c r="C104" s="273">
        <f>IF(A104&lt;&gt;"",""&amp;DATA_IO!B101,"")</f>
        <v/>
      </c>
      <c r="D104" s="273">
        <f>IF(A104&lt;&gt;"",""&amp;DATA_IO!C101,"")</f>
        <v/>
      </c>
      <c r="E104" s="273">
        <f>IF(A104&lt;&gt;"",""&amp;DATA_IO!D101,"")</f>
        <v/>
      </c>
      <c r="F104" s="274">
        <f>IF(A104&lt;&gt;"",DATA_IO!G101,"")</f>
        <v/>
      </c>
      <c r="G104" s="273">
        <f>IF(A104&lt;&gt;"",""&amp;DATA_IO!E101,"")</f>
        <v/>
      </c>
      <c r="H104" s="273">
        <f>IF(A104&lt;&gt;"","DERIVED","")</f>
        <v/>
      </c>
    </row>
    <row r="105">
      <c r="A105" s="273">
        <f>IF(DATA_IO!A102&lt;&gt;"",""&amp;DATA_IO!A102,"")</f>
        <v/>
      </c>
      <c r="B105" s="273">
        <f>IF(A105&lt;&gt;"","IO","")</f>
        <v/>
      </c>
      <c r="C105" s="273">
        <f>IF(A105&lt;&gt;"",""&amp;DATA_IO!B102,"")</f>
        <v/>
      </c>
      <c r="D105" s="273">
        <f>IF(A105&lt;&gt;"",""&amp;DATA_IO!C102,"")</f>
        <v/>
      </c>
      <c r="E105" s="273">
        <f>IF(A105&lt;&gt;"",""&amp;DATA_IO!D102,"")</f>
        <v/>
      </c>
      <c r="F105" s="274">
        <f>IF(A105&lt;&gt;"",DATA_IO!G102,"")</f>
        <v/>
      </c>
      <c r="G105" s="273">
        <f>IF(A105&lt;&gt;"",""&amp;DATA_IO!E102,"")</f>
        <v/>
      </c>
      <c r="H105" s="273">
        <f>IF(A105&lt;&gt;"","DERIVED","")</f>
        <v/>
      </c>
    </row>
    <row r="106">
      <c r="A106" s="273">
        <f>IF(DATA_IO!A103&lt;&gt;"",""&amp;DATA_IO!A103,"")</f>
        <v/>
      </c>
      <c r="B106" s="273">
        <f>IF(A106&lt;&gt;"","IO","")</f>
        <v/>
      </c>
      <c r="C106" s="273">
        <f>IF(A106&lt;&gt;"",""&amp;DATA_IO!B103,"")</f>
        <v/>
      </c>
      <c r="D106" s="273">
        <f>IF(A106&lt;&gt;"",""&amp;DATA_IO!C103,"")</f>
        <v/>
      </c>
      <c r="E106" s="273">
        <f>IF(A106&lt;&gt;"",""&amp;DATA_IO!D103,"")</f>
        <v/>
      </c>
      <c r="F106" s="274">
        <f>IF(A106&lt;&gt;"",DATA_IO!G103,"")</f>
        <v/>
      </c>
      <c r="G106" s="273">
        <f>IF(A106&lt;&gt;"",""&amp;DATA_IO!E103,"")</f>
        <v/>
      </c>
      <c r="H106" s="273">
        <f>IF(A106&lt;&gt;"","DERIVED","")</f>
        <v/>
      </c>
    </row>
    <row r="107">
      <c r="A107" s="273">
        <f>IF(DATA_IO!A104&lt;&gt;"",""&amp;DATA_IO!A104,"")</f>
        <v/>
      </c>
      <c r="B107" s="273">
        <f>IF(A107&lt;&gt;"","IO","")</f>
        <v/>
      </c>
      <c r="C107" s="273">
        <f>IF(A107&lt;&gt;"",""&amp;DATA_IO!B104,"")</f>
        <v/>
      </c>
      <c r="D107" s="273">
        <f>IF(A107&lt;&gt;"",""&amp;DATA_IO!C104,"")</f>
        <v/>
      </c>
      <c r="E107" s="273">
        <f>IF(A107&lt;&gt;"",""&amp;DATA_IO!D104,"")</f>
        <v/>
      </c>
      <c r="F107" s="274">
        <f>IF(A107&lt;&gt;"",DATA_IO!G104,"")</f>
        <v/>
      </c>
      <c r="G107" s="273">
        <f>IF(A107&lt;&gt;"",""&amp;DATA_IO!E104,"")</f>
        <v/>
      </c>
      <c r="H107" s="273">
        <f>IF(A107&lt;&gt;"","DERIVED","")</f>
        <v/>
      </c>
    </row>
    <row r="108">
      <c r="A108" s="273">
        <f>IF(DATA_IO!A105&lt;&gt;"",""&amp;DATA_IO!A105,"")</f>
        <v/>
      </c>
      <c r="B108" s="273">
        <f>IF(A108&lt;&gt;"","IO","")</f>
        <v/>
      </c>
      <c r="C108" s="273">
        <f>IF(A108&lt;&gt;"",""&amp;DATA_IO!B105,"")</f>
        <v/>
      </c>
      <c r="D108" s="273">
        <f>IF(A108&lt;&gt;"",""&amp;DATA_IO!C105,"")</f>
        <v/>
      </c>
      <c r="E108" s="273">
        <f>IF(A108&lt;&gt;"",""&amp;DATA_IO!D105,"")</f>
        <v/>
      </c>
      <c r="F108" s="274">
        <f>IF(A108&lt;&gt;"",DATA_IO!G105,"")</f>
        <v/>
      </c>
      <c r="G108" s="273">
        <f>IF(A108&lt;&gt;"",""&amp;DATA_IO!E105,"")</f>
        <v/>
      </c>
      <c r="H108" s="273">
        <f>IF(A108&lt;&gt;"","DERIVED","")</f>
        <v/>
      </c>
    </row>
    <row r="109">
      <c r="A109" s="273">
        <f>IF(DATA_IO!A106&lt;&gt;"",""&amp;DATA_IO!A106,"")</f>
        <v/>
      </c>
      <c r="B109" s="273">
        <f>IF(A109&lt;&gt;"","IO","")</f>
        <v/>
      </c>
      <c r="C109" s="273">
        <f>IF(A109&lt;&gt;"",""&amp;DATA_IO!B106,"")</f>
        <v/>
      </c>
      <c r="D109" s="273">
        <f>IF(A109&lt;&gt;"",""&amp;DATA_IO!C106,"")</f>
        <v/>
      </c>
      <c r="E109" s="273">
        <f>IF(A109&lt;&gt;"",""&amp;DATA_IO!D106,"")</f>
        <v/>
      </c>
      <c r="F109" s="274">
        <f>IF(A109&lt;&gt;"",DATA_IO!G106,"")</f>
        <v/>
      </c>
      <c r="G109" s="273">
        <f>IF(A109&lt;&gt;"",""&amp;DATA_IO!E106,"")</f>
        <v/>
      </c>
      <c r="H109" s="273">
        <f>IF(A109&lt;&gt;"","DERIVED","")</f>
        <v/>
      </c>
    </row>
    <row r="110">
      <c r="A110" s="273">
        <f>IF(DATA_IO!A107&lt;&gt;"",""&amp;DATA_IO!A107,"")</f>
        <v/>
      </c>
      <c r="B110" s="273">
        <f>IF(A110&lt;&gt;"","IO","")</f>
        <v/>
      </c>
      <c r="C110" s="273">
        <f>IF(A110&lt;&gt;"",""&amp;DATA_IO!B107,"")</f>
        <v/>
      </c>
      <c r="D110" s="273">
        <f>IF(A110&lt;&gt;"",""&amp;DATA_IO!C107,"")</f>
        <v/>
      </c>
      <c r="E110" s="273">
        <f>IF(A110&lt;&gt;"",""&amp;DATA_IO!D107,"")</f>
        <v/>
      </c>
      <c r="F110" s="274">
        <f>IF(A110&lt;&gt;"",DATA_IO!G107,"")</f>
        <v/>
      </c>
      <c r="G110" s="273">
        <f>IF(A110&lt;&gt;"",""&amp;DATA_IO!E107,"")</f>
        <v/>
      </c>
      <c r="H110" s="273">
        <f>IF(A110&lt;&gt;"","DERIVED","")</f>
        <v/>
      </c>
    </row>
    <row r="111">
      <c r="A111" s="273">
        <f>IF(DATA_IO!A108&lt;&gt;"",""&amp;DATA_IO!A108,"")</f>
        <v/>
      </c>
      <c r="B111" s="273">
        <f>IF(A111&lt;&gt;"","IO","")</f>
        <v/>
      </c>
      <c r="C111" s="273">
        <f>IF(A111&lt;&gt;"",""&amp;DATA_IO!B108,"")</f>
        <v/>
      </c>
      <c r="D111" s="273">
        <f>IF(A111&lt;&gt;"",""&amp;DATA_IO!C108,"")</f>
        <v/>
      </c>
      <c r="E111" s="273">
        <f>IF(A111&lt;&gt;"",""&amp;DATA_IO!D108,"")</f>
        <v/>
      </c>
      <c r="F111" s="274">
        <f>IF(A111&lt;&gt;"",DATA_IO!G108,"")</f>
        <v/>
      </c>
      <c r="G111" s="273">
        <f>IF(A111&lt;&gt;"",""&amp;DATA_IO!E108,"")</f>
        <v/>
      </c>
      <c r="H111" s="273">
        <f>IF(A111&lt;&gt;"","DERIVED","")</f>
        <v/>
      </c>
    </row>
    <row r="112">
      <c r="A112" s="273">
        <f>IF(DATA_IO!A109&lt;&gt;"",""&amp;DATA_IO!A109,"")</f>
        <v/>
      </c>
      <c r="B112" s="273">
        <f>IF(A112&lt;&gt;"","IO","")</f>
        <v/>
      </c>
      <c r="C112" s="273">
        <f>IF(A112&lt;&gt;"",""&amp;DATA_IO!B109,"")</f>
        <v/>
      </c>
      <c r="D112" s="273">
        <f>IF(A112&lt;&gt;"",""&amp;DATA_IO!C109,"")</f>
        <v/>
      </c>
      <c r="E112" s="273">
        <f>IF(A112&lt;&gt;"",""&amp;DATA_IO!D109,"")</f>
        <v/>
      </c>
      <c r="F112" s="274">
        <f>IF(A112&lt;&gt;"",DATA_IO!G109,"")</f>
        <v/>
      </c>
      <c r="G112" s="273">
        <f>IF(A112&lt;&gt;"",""&amp;DATA_IO!E109,"")</f>
        <v/>
      </c>
      <c r="H112" s="273">
        <f>IF(A112&lt;&gt;"","DERIVED","")</f>
        <v/>
      </c>
    </row>
    <row r="113">
      <c r="A113" s="273">
        <f>IF(DATA_IO!A110&lt;&gt;"",""&amp;DATA_IO!A110,"")</f>
        <v/>
      </c>
      <c r="B113" s="273">
        <f>IF(A113&lt;&gt;"","IO","")</f>
        <v/>
      </c>
      <c r="C113" s="273">
        <f>IF(A113&lt;&gt;"",""&amp;DATA_IO!B110,"")</f>
        <v/>
      </c>
      <c r="D113" s="273">
        <f>IF(A113&lt;&gt;"",""&amp;DATA_IO!C110,"")</f>
        <v/>
      </c>
      <c r="E113" s="273">
        <f>IF(A113&lt;&gt;"",""&amp;DATA_IO!D110,"")</f>
        <v/>
      </c>
      <c r="F113" s="274">
        <f>IF(A113&lt;&gt;"",DATA_IO!G110,"")</f>
        <v/>
      </c>
      <c r="G113" s="273">
        <f>IF(A113&lt;&gt;"",""&amp;DATA_IO!E110,"")</f>
        <v/>
      </c>
      <c r="H113" s="273">
        <f>IF(A113&lt;&gt;"","DERIVED","")</f>
        <v/>
      </c>
    </row>
    <row r="114">
      <c r="A114" s="273">
        <f>IF(DATA_IO!A111&lt;&gt;"",""&amp;DATA_IO!A111,"")</f>
        <v/>
      </c>
      <c r="B114" s="273">
        <f>IF(A114&lt;&gt;"","IO","")</f>
        <v/>
      </c>
      <c r="C114" s="273">
        <f>IF(A114&lt;&gt;"",""&amp;DATA_IO!B111,"")</f>
        <v/>
      </c>
      <c r="D114" s="273">
        <f>IF(A114&lt;&gt;"",""&amp;DATA_IO!C111,"")</f>
        <v/>
      </c>
      <c r="E114" s="273">
        <f>IF(A114&lt;&gt;"",""&amp;DATA_IO!D111,"")</f>
        <v/>
      </c>
      <c r="F114" s="274">
        <f>IF(A114&lt;&gt;"",DATA_IO!G111,"")</f>
        <v/>
      </c>
      <c r="G114" s="273">
        <f>IF(A114&lt;&gt;"",""&amp;DATA_IO!E111,"")</f>
        <v/>
      </c>
      <c r="H114" s="273">
        <f>IF(A114&lt;&gt;"","DERIVED","")</f>
        <v/>
      </c>
    </row>
    <row r="115">
      <c r="A115" s="273">
        <f>IF(DATA_IO!A112&lt;&gt;"",""&amp;DATA_IO!A112,"")</f>
        <v/>
      </c>
      <c r="B115" s="273">
        <f>IF(A115&lt;&gt;"","IO","")</f>
        <v/>
      </c>
      <c r="C115" s="273">
        <f>IF(A115&lt;&gt;"",""&amp;DATA_IO!B112,"")</f>
        <v/>
      </c>
      <c r="D115" s="273">
        <f>IF(A115&lt;&gt;"",""&amp;DATA_IO!C112,"")</f>
        <v/>
      </c>
      <c r="E115" s="273">
        <f>IF(A115&lt;&gt;"",""&amp;DATA_IO!D112,"")</f>
        <v/>
      </c>
      <c r="F115" s="274">
        <f>IF(A115&lt;&gt;"",DATA_IO!G112,"")</f>
        <v/>
      </c>
      <c r="G115" s="273">
        <f>IF(A115&lt;&gt;"",""&amp;DATA_IO!E112,"")</f>
        <v/>
      </c>
      <c r="H115" s="273">
        <f>IF(A115&lt;&gt;"","DERIVED","")</f>
        <v/>
      </c>
    </row>
    <row r="116">
      <c r="A116" s="273">
        <f>IF(DATA_IO!A113&lt;&gt;"",""&amp;DATA_IO!A113,"")</f>
        <v/>
      </c>
      <c r="B116" s="273">
        <f>IF(A116&lt;&gt;"","IO","")</f>
        <v/>
      </c>
      <c r="C116" s="273">
        <f>IF(A116&lt;&gt;"",""&amp;DATA_IO!B113,"")</f>
        <v/>
      </c>
      <c r="D116" s="273">
        <f>IF(A116&lt;&gt;"",""&amp;DATA_IO!C113,"")</f>
        <v/>
      </c>
      <c r="E116" s="273">
        <f>IF(A116&lt;&gt;"",""&amp;DATA_IO!D113,"")</f>
        <v/>
      </c>
      <c r="F116" s="274">
        <f>IF(A116&lt;&gt;"",DATA_IO!G113,"")</f>
        <v/>
      </c>
      <c r="G116" s="273">
        <f>IF(A116&lt;&gt;"",""&amp;DATA_IO!E113,"")</f>
        <v/>
      </c>
      <c r="H116" s="273">
        <f>IF(A116&lt;&gt;"","DERIVED","")</f>
        <v/>
      </c>
    </row>
    <row r="117">
      <c r="A117" s="273">
        <f>IF(DATA_IO!A114&lt;&gt;"",""&amp;DATA_IO!A114,"")</f>
        <v/>
      </c>
      <c r="B117" s="273">
        <f>IF(A117&lt;&gt;"","IO","")</f>
        <v/>
      </c>
      <c r="C117" s="273">
        <f>IF(A117&lt;&gt;"",""&amp;DATA_IO!B114,"")</f>
        <v/>
      </c>
      <c r="D117" s="273">
        <f>IF(A117&lt;&gt;"",""&amp;DATA_IO!C114,"")</f>
        <v/>
      </c>
      <c r="E117" s="273">
        <f>IF(A117&lt;&gt;"",""&amp;DATA_IO!D114,"")</f>
        <v/>
      </c>
      <c r="F117" s="274">
        <f>IF(A117&lt;&gt;"",DATA_IO!G114,"")</f>
        <v/>
      </c>
      <c r="G117" s="273">
        <f>IF(A117&lt;&gt;"",""&amp;DATA_IO!E114,"")</f>
        <v/>
      </c>
      <c r="H117" s="273">
        <f>IF(A117&lt;&gt;"","DERIVED","")</f>
        <v/>
      </c>
    </row>
    <row r="118">
      <c r="A118" s="273">
        <f>IF(DATA_IO!A115&lt;&gt;"",""&amp;DATA_IO!A115,"")</f>
        <v/>
      </c>
      <c r="B118" s="273">
        <f>IF(A118&lt;&gt;"","IO","")</f>
        <v/>
      </c>
      <c r="C118" s="273">
        <f>IF(A118&lt;&gt;"",""&amp;DATA_IO!B115,"")</f>
        <v/>
      </c>
      <c r="D118" s="273">
        <f>IF(A118&lt;&gt;"",""&amp;DATA_IO!C115,"")</f>
        <v/>
      </c>
      <c r="E118" s="273">
        <f>IF(A118&lt;&gt;"",""&amp;DATA_IO!D115,"")</f>
        <v/>
      </c>
      <c r="F118" s="274">
        <f>IF(A118&lt;&gt;"",DATA_IO!G115,"")</f>
        <v/>
      </c>
      <c r="G118" s="273">
        <f>IF(A118&lt;&gt;"",""&amp;DATA_IO!E115,"")</f>
        <v/>
      </c>
      <c r="H118" s="273">
        <f>IF(A118&lt;&gt;"","DERIVED","")</f>
        <v/>
      </c>
    </row>
    <row r="119">
      <c r="A119" s="273">
        <f>IF(DATA_IO!A116&lt;&gt;"",""&amp;DATA_IO!A116,"")</f>
        <v/>
      </c>
      <c r="B119" s="273">
        <f>IF(A119&lt;&gt;"","IO","")</f>
        <v/>
      </c>
      <c r="C119" s="273">
        <f>IF(A119&lt;&gt;"",""&amp;DATA_IO!B116,"")</f>
        <v/>
      </c>
      <c r="D119" s="273">
        <f>IF(A119&lt;&gt;"",""&amp;DATA_IO!C116,"")</f>
        <v/>
      </c>
      <c r="E119" s="273">
        <f>IF(A119&lt;&gt;"",""&amp;DATA_IO!D116,"")</f>
        <v/>
      </c>
      <c r="F119" s="274">
        <f>IF(A119&lt;&gt;"",DATA_IO!G116,"")</f>
        <v/>
      </c>
      <c r="G119" s="273">
        <f>IF(A119&lt;&gt;"",""&amp;DATA_IO!E116,"")</f>
        <v/>
      </c>
      <c r="H119" s="273">
        <f>IF(A119&lt;&gt;"","DERIVED","")</f>
        <v/>
      </c>
    </row>
    <row r="120">
      <c r="A120" s="273">
        <f>IF(DATA_IO!A117&lt;&gt;"",""&amp;DATA_IO!A117,"")</f>
        <v/>
      </c>
      <c r="B120" s="273">
        <f>IF(A120&lt;&gt;"","IO","")</f>
        <v/>
      </c>
      <c r="C120" s="273">
        <f>IF(A120&lt;&gt;"",""&amp;DATA_IO!B117,"")</f>
        <v/>
      </c>
      <c r="D120" s="273">
        <f>IF(A120&lt;&gt;"",""&amp;DATA_IO!C117,"")</f>
        <v/>
      </c>
      <c r="E120" s="273">
        <f>IF(A120&lt;&gt;"",""&amp;DATA_IO!D117,"")</f>
        <v/>
      </c>
      <c r="F120" s="274">
        <f>IF(A120&lt;&gt;"",DATA_IO!G117,"")</f>
        <v/>
      </c>
      <c r="G120" s="273">
        <f>IF(A120&lt;&gt;"",""&amp;DATA_IO!E117,"")</f>
        <v/>
      </c>
      <c r="H120" s="273">
        <f>IF(A120&lt;&gt;"","DERIVED","")</f>
        <v/>
      </c>
    </row>
    <row r="121">
      <c r="A121" s="273">
        <f>IF(DATA_IO!A118&lt;&gt;"",""&amp;DATA_IO!A118,"")</f>
        <v/>
      </c>
      <c r="B121" s="273">
        <f>IF(A121&lt;&gt;"","IO","")</f>
        <v/>
      </c>
      <c r="C121" s="273">
        <f>IF(A121&lt;&gt;"",""&amp;DATA_IO!B118,"")</f>
        <v/>
      </c>
      <c r="D121" s="273">
        <f>IF(A121&lt;&gt;"",""&amp;DATA_IO!C118,"")</f>
        <v/>
      </c>
      <c r="E121" s="273">
        <f>IF(A121&lt;&gt;"",""&amp;DATA_IO!D118,"")</f>
        <v/>
      </c>
      <c r="F121" s="274">
        <f>IF(A121&lt;&gt;"",DATA_IO!G118,"")</f>
        <v/>
      </c>
      <c r="G121" s="273">
        <f>IF(A121&lt;&gt;"",""&amp;DATA_IO!E118,"")</f>
        <v/>
      </c>
      <c r="H121" s="273">
        <f>IF(A121&lt;&gt;"","DERIVED","")</f>
        <v/>
      </c>
    </row>
    <row r="122">
      <c r="A122" s="273">
        <f>IF(DATA_IO!A119&lt;&gt;"",""&amp;DATA_IO!A119,"")</f>
        <v/>
      </c>
      <c r="B122" s="273">
        <f>IF(A122&lt;&gt;"","IO","")</f>
        <v/>
      </c>
      <c r="C122" s="273">
        <f>IF(A122&lt;&gt;"",""&amp;DATA_IO!B119,"")</f>
        <v/>
      </c>
      <c r="D122" s="273">
        <f>IF(A122&lt;&gt;"",""&amp;DATA_IO!C119,"")</f>
        <v/>
      </c>
      <c r="E122" s="273">
        <f>IF(A122&lt;&gt;"",""&amp;DATA_IO!D119,"")</f>
        <v/>
      </c>
      <c r="F122" s="274">
        <f>IF(A122&lt;&gt;"",DATA_IO!G119,"")</f>
        <v/>
      </c>
      <c r="G122" s="273">
        <f>IF(A122&lt;&gt;"",""&amp;DATA_IO!E119,"")</f>
        <v/>
      </c>
      <c r="H122" s="273">
        <f>IF(A122&lt;&gt;"","DERIVED","")</f>
        <v/>
      </c>
    </row>
    <row r="123">
      <c r="A123" s="273">
        <f>IF(DATA_IO!A120&lt;&gt;"",""&amp;DATA_IO!A120,"")</f>
        <v/>
      </c>
      <c r="B123" s="273">
        <f>IF(A123&lt;&gt;"","IO","")</f>
        <v/>
      </c>
      <c r="C123" s="273">
        <f>IF(A123&lt;&gt;"",""&amp;DATA_IO!B120,"")</f>
        <v/>
      </c>
      <c r="D123" s="273">
        <f>IF(A123&lt;&gt;"",""&amp;DATA_IO!C120,"")</f>
        <v/>
      </c>
      <c r="E123" s="273">
        <f>IF(A123&lt;&gt;"",""&amp;DATA_IO!D120,"")</f>
        <v/>
      </c>
      <c r="F123" s="274">
        <f>IF(A123&lt;&gt;"",DATA_IO!G120,"")</f>
        <v/>
      </c>
      <c r="G123" s="273">
        <f>IF(A123&lt;&gt;"",""&amp;DATA_IO!E120,"")</f>
        <v/>
      </c>
      <c r="H123" s="273">
        <f>IF(A123&lt;&gt;"","DERIVED","")</f>
        <v/>
      </c>
    </row>
    <row r="124">
      <c r="A124" s="273">
        <f>IF(DATA_IO!A121&lt;&gt;"",""&amp;DATA_IO!A121,"")</f>
        <v/>
      </c>
      <c r="B124" s="273">
        <f>IF(A124&lt;&gt;"","IO","")</f>
        <v/>
      </c>
      <c r="C124" s="273">
        <f>IF(A124&lt;&gt;"",""&amp;DATA_IO!B121,"")</f>
        <v/>
      </c>
      <c r="D124" s="273">
        <f>IF(A124&lt;&gt;"",""&amp;DATA_IO!C121,"")</f>
        <v/>
      </c>
      <c r="E124" s="273">
        <f>IF(A124&lt;&gt;"",""&amp;DATA_IO!D121,"")</f>
        <v/>
      </c>
      <c r="F124" s="274">
        <f>IF(A124&lt;&gt;"",DATA_IO!G121,"")</f>
        <v/>
      </c>
      <c r="G124" s="273">
        <f>IF(A124&lt;&gt;"",""&amp;DATA_IO!E121,"")</f>
        <v/>
      </c>
      <c r="H124" s="273">
        <f>IF(A124&lt;&gt;"","DERIVED","")</f>
        <v/>
      </c>
    </row>
    <row r="125">
      <c r="A125" s="273">
        <f>IF(DATA_IO!A122&lt;&gt;"",""&amp;DATA_IO!A122,"")</f>
        <v/>
      </c>
      <c r="B125" s="273">
        <f>IF(A125&lt;&gt;"","IO","")</f>
        <v/>
      </c>
      <c r="C125" s="273">
        <f>IF(A125&lt;&gt;"",""&amp;DATA_IO!B122,"")</f>
        <v/>
      </c>
      <c r="D125" s="273">
        <f>IF(A125&lt;&gt;"",""&amp;DATA_IO!C122,"")</f>
        <v/>
      </c>
      <c r="E125" s="273">
        <f>IF(A125&lt;&gt;"",""&amp;DATA_IO!D122,"")</f>
        <v/>
      </c>
      <c r="F125" s="274">
        <f>IF(A125&lt;&gt;"",DATA_IO!G122,"")</f>
        <v/>
      </c>
      <c r="G125" s="273">
        <f>IF(A125&lt;&gt;"",""&amp;DATA_IO!E122,"")</f>
        <v/>
      </c>
      <c r="H125" s="273">
        <f>IF(A125&lt;&gt;"","DERIVED","")</f>
        <v/>
      </c>
    </row>
    <row r="126">
      <c r="A126" s="273">
        <f>IF(DATA_IO!A123&lt;&gt;"",""&amp;DATA_IO!A123,"")</f>
        <v/>
      </c>
      <c r="B126" s="273">
        <f>IF(A126&lt;&gt;"","IO","")</f>
        <v/>
      </c>
      <c r="C126" s="273">
        <f>IF(A126&lt;&gt;"",""&amp;DATA_IO!B123,"")</f>
        <v/>
      </c>
      <c r="D126" s="273">
        <f>IF(A126&lt;&gt;"",""&amp;DATA_IO!C123,"")</f>
        <v/>
      </c>
      <c r="E126" s="273">
        <f>IF(A126&lt;&gt;"",""&amp;DATA_IO!D123,"")</f>
        <v/>
      </c>
      <c r="F126" s="274">
        <f>IF(A126&lt;&gt;"",DATA_IO!G123,"")</f>
        <v/>
      </c>
      <c r="G126" s="273">
        <f>IF(A126&lt;&gt;"",""&amp;DATA_IO!E123,"")</f>
        <v/>
      </c>
      <c r="H126" s="273">
        <f>IF(A126&lt;&gt;"","DERIVED","")</f>
        <v/>
      </c>
    </row>
    <row r="127">
      <c r="A127" s="273">
        <f>IF(DATA_IO!A124&lt;&gt;"",""&amp;DATA_IO!A124,"")</f>
        <v/>
      </c>
      <c r="B127" s="273">
        <f>IF(A127&lt;&gt;"","IO","")</f>
        <v/>
      </c>
      <c r="C127" s="273">
        <f>IF(A127&lt;&gt;"",""&amp;DATA_IO!B124,"")</f>
        <v/>
      </c>
      <c r="D127" s="273">
        <f>IF(A127&lt;&gt;"",""&amp;DATA_IO!C124,"")</f>
        <v/>
      </c>
      <c r="E127" s="273">
        <f>IF(A127&lt;&gt;"",""&amp;DATA_IO!D124,"")</f>
        <v/>
      </c>
      <c r="F127" s="274">
        <f>IF(A127&lt;&gt;"",DATA_IO!G124,"")</f>
        <v/>
      </c>
      <c r="G127" s="273">
        <f>IF(A127&lt;&gt;"",""&amp;DATA_IO!E124,"")</f>
        <v/>
      </c>
      <c r="H127" s="273">
        <f>IF(A127&lt;&gt;"","DERIVED","")</f>
        <v/>
      </c>
    </row>
    <row r="128">
      <c r="A128" s="273">
        <f>IF(DATA_IO!A125&lt;&gt;"",""&amp;DATA_IO!A125,"")</f>
        <v/>
      </c>
      <c r="B128" s="273">
        <f>IF(A128&lt;&gt;"","IO","")</f>
        <v/>
      </c>
      <c r="C128" s="273">
        <f>IF(A128&lt;&gt;"",""&amp;DATA_IO!B125,"")</f>
        <v/>
      </c>
      <c r="D128" s="273">
        <f>IF(A128&lt;&gt;"",""&amp;DATA_IO!C125,"")</f>
        <v/>
      </c>
      <c r="E128" s="273">
        <f>IF(A128&lt;&gt;"",""&amp;DATA_IO!D125,"")</f>
        <v/>
      </c>
      <c r="F128" s="274">
        <f>IF(A128&lt;&gt;"",DATA_IO!G125,"")</f>
        <v/>
      </c>
      <c r="G128" s="273">
        <f>IF(A128&lt;&gt;"",""&amp;DATA_IO!E125,"")</f>
        <v/>
      </c>
      <c r="H128" s="273">
        <f>IF(A128&lt;&gt;"","DERIVED","")</f>
        <v/>
      </c>
    </row>
    <row r="129">
      <c r="A129" s="273">
        <f>IF(DATA_IO!A126&lt;&gt;"",""&amp;DATA_IO!A126,"")</f>
        <v/>
      </c>
      <c r="B129" s="273">
        <f>IF(A129&lt;&gt;"","IO","")</f>
        <v/>
      </c>
      <c r="C129" s="273">
        <f>IF(A129&lt;&gt;"",""&amp;DATA_IO!B126,"")</f>
        <v/>
      </c>
      <c r="D129" s="273">
        <f>IF(A129&lt;&gt;"",""&amp;DATA_IO!C126,"")</f>
        <v/>
      </c>
      <c r="E129" s="273">
        <f>IF(A129&lt;&gt;"",""&amp;DATA_IO!D126,"")</f>
        <v/>
      </c>
      <c r="F129" s="274">
        <f>IF(A129&lt;&gt;"",DATA_IO!G126,"")</f>
        <v/>
      </c>
      <c r="G129" s="273">
        <f>IF(A129&lt;&gt;"",""&amp;DATA_IO!E126,"")</f>
        <v/>
      </c>
      <c r="H129" s="273">
        <f>IF(A129&lt;&gt;"","DERIVED","")</f>
        <v/>
      </c>
    </row>
    <row r="130">
      <c r="A130" s="273">
        <f>IF(DATA_IO!A127&lt;&gt;"",""&amp;DATA_IO!A127,"")</f>
        <v/>
      </c>
      <c r="B130" s="273">
        <f>IF(A130&lt;&gt;"","IO","")</f>
        <v/>
      </c>
      <c r="C130" s="273">
        <f>IF(A130&lt;&gt;"",""&amp;DATA_IO!B127,"")</f>
        <v/>
      </c>
      <c r="D130" s="273">
        <f>IF(A130&lt;&gt;"",""&amp;DATA_IO!C127,"")</f>
        <v/>
      </c>
      <c r="E130" s="273">
        <f>IF(A130&lt;&gt;"",""&amp;DATA_IO!D127,"")</f>
        <v/>
      </c>
      <c r="F130" s="274">
        <f>IF(A130&lt;&gt;"",DATA_IO!G127,"")</f>
        <v/>
      </c>
      <c r="G130" s="273">
        <f>IF(A130&lt;&gt;"",""&amp;DATA_IO!E127,"")</f>
        <v/>
      </c>
      <c r="H130" s="273">
        <f>IF(A130&lt;&gt;"","DERIVED","")</f>
        <v/>
      </c>
    </row>
    <row r="131">
      <c r="A131" s="273">
        <f>IF(DATA_IO!A128&lt;&gt;"",""&amp;DATA_IO!A128,"")</f>
        <v/>
      </c>
      <c r="B131" s="273">
        <f>IF(A131&lt;&gt;"","IO","")</f>
        <v/>
      </c>
      <c r="C131" s="273">
        <f>IF(A131&lt;&gt;"",""&amp;DATA_IO!B128,"")</f>
        <v/>
      </c>
      <c r="D131" s="273">
        <f>IF(A131&lt;&gt;"",""&amp;DATA_IO!C128,"")</f>
        <v/>
      </c>
      <c r="E131" s="273">
        <f>IF(A131&lt;&gt;"",""&amp;DATA_IO!D128,"")</f>
        <v/>
      </c>
      <c r="F131" s="274">
        <f>IF(A131&lt;&gt;"",DATA_IO!G128,"")</f>
        <v/>
      </c>
      <c r="G131" s="273">
        <f>IF(A131&lt;&gt;"",""&amp;DATA_IO!E128,"")</f>
        <v/>
      </c>
      <c r="H131" s="273">
        <f>IF(A131&lt;&gt;"","DERIVED","")</f>
        <v/>
      </c>
    </row>
    <row r="132">
      <c r="A132" s="273">
        <f>IF(DATA_IO!A129&lt;&gt;"",""&amp;DATA_IO!A129,"")</f>
        <v/>
      </c>
      <c r="B132" s="273">
        <f>IF(A132&lt;&gt;"","IO","")</f>
        <v/>
      </c>
      <c r="C132" s="273">
        <f>IF(A132&lt;&gt;"",""&amp;DATA_IO!B129,"")</f>
        <v/>
      </c>
      <c r="D132" s="273">
        <f>IF(A132&lt;&gt;"",""&amp;DATA_IO!C129,"")</f>
        <v/>
      </c>
      <c r="E132" s="273">
        <f>IF(A132&lt;&gt;"",""&amp;DATA_IO!D129,"")</f>
        <v/>
      </c>
      <c r="F132" s="274">
        <f>IF(A132&lt;&gt;"",DATA_IO!G129,"")</f>
        <v/>
      </c>
      <c r="G132" s="273">
        <f>IF(A132&lt;&gt;"",""&amp;DATA_IO!E129,"")</f>
        <v/>
      </c>
      <c r="H132" s="273">
        <f>IF(A132&lt;&gt;"","DERIVED","")</f>
        <v/>
      </c>
    </row>
    <row r="133">
      <c r="A133" s="273">
        <f>IF(DATA_IO!A130&lt;&gt;"",""&amp;DATA_IO!A130,"")</f>
        <v/>
      </c>
      <c r="B133" s="273">
        <f>IF(A133&lt;&gt;"","IO","")</f>
        <v/>
      </c>
      <c r="C133" s="273">
        <f>IF(A133&lt;&gt;"",""&amp;DATA_IO!B130,"")</f>
        <v/>
      </c>
      <c r="D133" s="273">
        <f>IF(A133&lt;&gt;"",""&amp;DATA_IO!C130,"")</f>
        <v/>
      </c>
      <c r="E133" s="273">
        <f>IF(A133&lt;&gt;"",""&amp;DATA_IO!D130,"")</f>
        <v/>
      </c>
      <c r="F133" s="274">
        <f>IF(A133&lt;&gt;"",DATA_IO!G130,"")</f>
        <v/>
      </c>
      <c r="G133" s="273">
        <f>IF(A133&lt;&gt;"",""&amp;DATA_IO!E130,"")</f>
        <v/>
      </c>
      <c r="H133" s="273">
        <f>IF(A133&lt;&gt;"","DERIVED","")</f>
        <v/>
      </c>
    </row>
    <row r="134">
      <c r="A134" s="273">
        <f>IF(DATA_IO!A131&lt;&gt;"",""&amp;DATA_IO!A131,"")</f>
        <v/>
      </c>
      <c r="B134" s="273">
        <f>IF(A134&lt;&gt;"","IO","")</f>
        <v/>
      </c>
      <c r="C134" s="273">
        <f>IF(A134&lt;&gt;"",""&amp;DATA_IO!B131,"")</f>
        <v/>
      </c>
      <c r="D134" s="273">
        <f>IF(A134&lt;&gt;"",""&amp;DATA_IO!C131,"")</f>
        <v/>
      </c>
      <c r="E134" s="273">
        <f>IF(A134&lt;&gt;"",""&amp;DATA_IO!D131,"")</f>
        <v/>
      </c>
      <c r="F134" s="274">
        <f>IF(A134&lt;&gt;"",DATA_IO!G131,"")</f>
        <v/>
      </c>
      <c r="G134" s="273">
        <f>IF(A134&lt;&gt;"",""&amp;DATA_IO!E131,"")</f>
        <v/>
      </c>
      <c r="H134" s="273">
        <f>IF(A134&lt;&gt;"","DERIVED","")</f>
        <v/>
      </c>
    </row>
    <row r="135">
      <c r="A135" s="273">
        <f>IF(DATA_IO!A132&lt;&gt;"",""&amp;DATA_IO!A132,"")</f>
        <v/>
      </c>
      <c r="B135" s="273">
        <f>IF(A135&lt;&gt;"","IO","")</f>
        <v/>
      </c>
      <c r="C135" s="273">
        <f>IF(A135&lt;&gt;"",""&amp;DATA_IO!B132,"")</f>
        <v/>
      </c>
      <c r="D135" s="273">
        <f>IF(A135&lt;&gt;"",""&amp;DATA_IO!C132,"")</f>
        <v/>
      </c>
      <c r="E135" s="273">
        <f>IF(A135&lt;&gt;"",""&amp;DATA_IO!D132,"")</f>
        <v/>
      </c>
      <c r="F135" s="274">
        <f>IF(A135&lt;&gt;"",DATA_IO!G132,"")</f>
        <v/>
      </c>
      <c r="G135" s="273">
        <f>IF(A135&lt;&gt;"",""&amp;DATA_IO!E132,"")</f>
        <v/>
      </c>
      <c r="H135" s="273">
        <f>IF(A135&lt;&gt;"","DERIVED","")</f>
        <v/>
      </c>
    </row>
    <row r="136">
      <c r="A136" s="273">
        <f>IF(DATA_IO!A133&lt;&gt;"",""&amp;DATA_IO!A133,"")</f>
        <v/>
      </c>
      <c r="B136" s="273">
        <f>IF(A136&lt;&gt;"","IO","")</f>
        <v/>
      </c>
      <c r="C136" s="273">
        <f>IF(A136&lt;&gt;"",""&amp;DATA_IO!B133,"")</f>
        <v/>
      </c>
      <c r="D136" s="273">
        <f>IF(A136&lt;&gt;"",""&amp;DATA_IO!C133,"")</f>
        <v/>
      </c>
      <c r="E136" s="273">
        <f>IF(A136&lt;&gt;"",""&amp;DATA_IO!D133,"")</f>
        <v/>
      </c>
      <c r="F136" s="274">
        <f>IF(A136&lt;&gt;"",DATA_IO!G133,"")</f>
        <v/>
      </c>
      <c r="G136" s="273">
        <f>IF(A136&lt;&gt;"",""&amp;DATA_IO!E133,"")</f>
        <v/>
      </c>
      <c r="H136" s="273">
        <f>IF(A136&lt;&gt;"","DERIVED","")</f>
        <v/>
      </c>
    </row>
    <row r="137">
      <c r="A137" s="273">
        <f>IF(DATA_IO!A134&lt;&gt;"",""&amp;DATA_IO!A134,"")</f>
        <v/>
      </c>
      <c r="B137" s="273">
        <f>IF(A137&lt;&gt;"","IO","")</f>
        <v/>
      </c>
      <c r="C137" s="273">
        <f>IF(A137&lt;&gt;"",""&amp;DATA_IO!B134,"")</f>
        <v/>
      </c>
      <c r="D137" s="273">
        <f>IF(A137&lt;&gt;"",""&amp;DATA_IO!C134,"")</f>
        <v/>
      </c>
      <c r="E137" s="273">
        <f>IF(A137&lt;&gt;"",""&amp;DATA_IO!D134,"")</f>
        <v/>
      </c>
      <c r="F137" s="274">
        <f>IF(A137&lt;&gt;"",DATA_IO!G134,"")</f>
        <v/>
      </c>
      <c r="G137" s="273">
        <f>IF(A137&lt;&gt;"",""&amp;DATA_IO!E134,"")</f>
        <v/>
      </c>
      <c r="H137" s="273">
        <f>IF(A137&lt;&gt;"","DERIVED","")</f>
        <v/>
      </c>
    </row>
    <row r="138">
      <c r="A138" s="273">
        <f>IF(DATA_IO!A135&lt;&gt;"",""&amp;DATA_IO!A135,"")</f>
        <v/>
      </c>
      <c r="B138" s="273">
        <f>IF(A138&lt;&gt;"","IO","")</f>
        <v/>
      </c>
      <c r="C138" s="273">
        <f>IF(A138&lt;&gt;"",""&amp;DATA_IO!B135,"")</f>
        <v/>
      </c>
      <c r="D138" s="273">
        <f>IF(A138&lt;&gt;"",""&amp;DATA_IO!C135,"")</f>
        <v/>
      </c>
      <c r="E138" s="273">
        <f>IF(A138&lt;&gt;"",""&amp;DATA_IO!D135,"")</f>
        <v/>
      </c>
      <c r="F138" s="274">
        <f>IF(A138&lt;&gt;"",DATA_IO!G135,"")</f>
        <v/>
      </c>
      <c r="G138" s="273">
        <f>IF(A138&lt;&gt;"",""&amp;DATA_IO!E135,"")</f>
        <v/>
      </c>
      <c r="H138" s="273">
        <f>IF(A138&lt;&gt;"","DERIVED","")</f>
        <v/>
      </c>
    </row>
    <row r="139">
      <c r="A139" s="273">
        <f>IF(DATA_IO!A136&lt;&gt;"",""&amp;DATA_IO!A136,"")</f>
        <v/>
      </c>
      <c r="B139" s="273">
        <f>IF(A139&lt;&gt;"","IO","")</f>
        <v/>
      </c>
      <c r="C139" s="273">
        <f>IF(A139&lt;&gt;"",""&amp;DATA_IO!B136,"")</f>
        <v/>
      </c>
      <c r="D139" s="273">
        <f>IF(A139&lt;&gt;"",""&amp;DATA_IO!C136,"")</f>
        <v/>
      </c>
      <c r="E139" s="273">
        <f>IF(A139&lt;&gt;"",""&amp;DATA_IO!D136,"")</f>
        <v/>
      </c>
      <c r="F139" s="274">
        <f>IF(A139&lt;&gt;"",DATA_IO!G136,"")</f>
        <v/>
      </c>
      <c r="G139" s="273">
        <f>IF(A139&lt;&gt;"",""&amp;DATA_IO!E136,"")</f>
        <v/>
      </c>
      <c r="H139" s="273">
        <f>IF(A139&lt;&gt;"","DERIVED","")</f>
        <v/>
      </c>
    </row>
    <row r="140">
      <c r="A140" s="273">
        <f>IF(DATA_IO!A137&lt;&gt;"",""&amp;DATA_IO!A137,"")</f>
        <v/>
      </c>
      <c r="B140" s="273">
        <f>IF(A140&lt;&gt;"","IO","")</f>
        <v/>
      </c>
      <c r="C140" s="273">
        <f>IF(A140&lt;&gt;"",""&amp;DATA_IO!B137,"")</f>
        <v/>
      </c>
      <c r="D140" s="273">
        <f>IF(A140&lt;&gt;"",""&amp;DATA_IO!C137,"")</f>
        <v/>
      </c>
      <c r="E140" s="273">
        <f>IF(A140&lt;&gt;"",""&amp;DATA_IO!D137,"")</f>
        <v/>
      </c>
      <c r="F140" s="274">
        <f>IF(A140&lt;&gt;"",DATA_IO!G137,"")</f>
        <v/>
      </c>
      <c r="G140" s="273">
        <f>IF(A140&lt;&gt;"",""&amp;DATA_IO!E137,"")</f>
        <v/>
      </c>
      <c r="H140" s="273">
        <f>IF(A140&lt;&gt;"","DERIVED","")</f>
        <v/>
      </c>
    </row>
    <row r="141">
      <c r="A141" s="273">
        <f>IF(DATA_IO!A138&lt;&gt;"",""&amp;DATA_IO!A138,"")</f>
        <v/>
      </c>
      <c r="B141" s="273">
        <f>IF(A141&lt;&gt;"","IO","")</f>
        <v/>
      </c>
      <c r="C141" s="273">
        <f>IF(A141&lt;&gt;"",""&amp;DATA_IO!B138,"")</f>
        <v/>
      </c>
      <c r="D141" s="273">
        <f>IF(A141&lt;&gt;"",""&amp;DATA_IO!C138,"")</f>
        <v/>
      </c>
      <c r="E141" s="273">
        <f>IF(A141&lt;&gt;"",""&amp;DATA_IO!D138,"")</f>
        <v/>
      </c>
      <c r="F141" s="274">
        <f>IF(A141&lt;&gt;"",DATA_IO!G138,"")</f>
        <v/>
      </c>
      <c r="G141" s="273">
        <f>IF(A141&lt;&gt;"",""&amp;DATA_IO!E138,"")</f>
        <v/>
      </c>
      <c r="H141" s="273">
        <f>IF(A141&lt;&gt;"","DERIVED","")</f>
        <v/>
      </c>
    </row>
    <row r="142">
      <c r="A142" s="273">
        <f>IF(DATA_IO!A139&lt;&gt;"",""&amp;DATA_IO!A139,"")</f>
        <v/>
      </c>
      <c r="B142" s="273">
        <f>IF(A142&lt;&gt;"","IO","")</f>
        <v/>
      </c>
      <c r="C142" s="273">
        <f>IF(A142&lt;&gt;"",""&amp;DATA_IO!B139,"")</f>
        <v/>
      </c>
      <c r="D142" s="273">
        <f>IF(A142&lt;&gt;"",""&amp;DATA_IO!C139,"")</f>
        <v/>
      </c>
      <c r="E142" s="273">
        <f>IF(A142&lt;&gt;"",""&amp;DATA_IO!D139,"")</f>
        <v/>
      </c>
      <c r="F142" s="274">
        <f>IF(A142&lt;&gt;"",DATA_IO!G139,"")</f>
        <v/>
      </c>
      <c r="G142" s="273">
        <f>IF(A142&lt;&gt;"",""&amp;DATA_IO!E139,"")</f>
        <v/>
      </c>
      <c r="H142" s="273">
        <f>IF(A142&lt;&gt;"","DERIVED","")</f>
        <v/>
      </c>
    </row>
    <row r="143">
      <c r="A143" s="273">
        <f>IF(DATA_IO!A140&lt;&gt;"",""&amp;DATA_IO!A140,"")</f>
        <v/>
      </c>
      <c r="B143" s="273">
        <f>IF(A143&lt;&gt;"","IO","")</f>
        <v/>
      </c>
      <c r="C143" s="273">
        <f>IF(A143&lt;&gt;"",""&amp;DATA_IO!B140,"")</f>
        <v/>
      </c>
      <c r="D143" s="273">
        <f>IF(A143&lt;&gt;"",""&amp;DATA_IO!C140,"")</f>
        <v/>
      </c>
      <c r="E143" s="273">
        <f>IF(A143&lt;&gt;"",""&amp;DATA_IO!D140,"")</f>
        <v/>
      </c>
      <c r="F143" s="274">
        <f>IF(A143&lt;&gt;"",DATA_IO!G140,"")</f>
        <v/>
      </c>
      <c r="G143" s="273">
        <f>IF(A143&lt;&gt;"",""&amp;DATA_IO!E140,"")</f>
        <v/>
      </c>
      <c r="H143" s="273">
        <f>IF(A143&lt;&gt;"","DERIVED","")</f>
        <v/>
      </c>
    </row>
    <row r="144">
      <c r="A144" s="273">
        <f>IF(DATA_IO!A141&lt;&gt;"",""&amp;DATA_IO!A141,"")</f>
        <v/>
      </c>
      <c r="B144" s="273">
        <f>IF(A144&lt;&gt;"","IO","")</f>
        <v/>
      </c>
      <c r="C144" s="273">
        <f>IF(A144&lt;&gt;"",""&amp;DATA_IO!B141,"")</f>
        <v/>
      </c>
      <c r="D144" s="273">
        <f>IF(A144&lt;&gt;"",""&amp;DATA_IO!C141,"")</f>
        <v/>
      </c>
      <c r="E144" s="273">
        <f>IF(A144&lt;&gt;"",""&amp;DATA_IO!D141,"")</f>
        <v/>
      </c>
      <c r="F144" s="274">
        <f>IF(A144&lt;&gt;"",DATA_IO!G141,"")</f>
        <v/>
      </c>
      <c r="G144" s="273">
        <f>IF(A144&lt;&gt;"",""&amp;DATA_IO!E141,"")</f>
        <v/>
      </c>
      <c r="H144" s="273">
        <f>IF(A144&lt;&gt;"","DERIVED","")</f>
        <v/>
      </c>
    </row>
    <row r="145">
      <c r="A145" s="273">
        <f>IF(DATA_IO!A142&lt;&gt;"",""&amp;DATA_IO!A142,"")</f>
        <v/>
      </c>
      <c r="B145" s="273">
        <f>IF(A145&lt;&gt;"","IO","")</f>
        <v/>
      </c>
      <c r="C145" s="273">
        <f>IF(A145&lt;&gt;"",""&amp;DATA_IO!B142,"")</f>
        <v/>
      </c>
      <c r="D145" s="273">
        <f>IF(A145&lt;&gt;"",""&amp;DATA_IO!C142,"")</f>
        <v/>
      </c>
      <c r="E145" s="273">
        <f>IF(A145&lt;&gt;"",""&amp;DATA_IO!D142,"")</f>
        <v/>
      </c>
      <c r="F145" s="274">
        <f>IF(A145&lt;&gt;"",DATA_IO!G142,"")</f>
        <v/>
      </c>
      <c r="G145" s="273">
        <f>IF(A145&lt;&gt;"",""&amp;DATA_IO!E142,"")</f>
        <v/>
      </c>
      <c r="H145" s="273">
        <f>IF(A145&lt;&gt;"","DERIVED","")</f>
        <v/>
      </c>
    </row>
    <row r="146">
      <c r="A146" s="273">
        <f>IF(DATA_IO!A143&lt;&gt;"",""&amp;DATA_IO!A143,"")</f>
        <v/>
      </c>
      <c r="B146" s="273">
        <f>IF(A146&lt;&gt;"","IO","")</f>
        <v/>
      </c>
      <c r="C146" s="273">
        <f>IF(A146&lt;&gt;"",""&amp;DATA_IO!B143,"")</f>
        <v/>
      </c>
      <c r="D146" s="273">
        <f>IF(A146&lt;&gt;"",""&amp;DATA_IO!C143,"")</f>
        <v/>
      </c>
      <c r="E146" s="273">
        <f>IF(A146&lt;&gt;"",""&amp;DATA_IO!D143,"")</f>
        <v/>
      </c>
      <c r="F146" s="274">
        <f>IF(A146&lt;&gt;"",DATA_IO!G143,"")</f>
        <v/>
      </c>
      <c r="G146" s="273">
        <f>IF(A146&lt;&gt;"",""&amp;DATA_IO!E143,"")</f>
        <v/>
      </c>
      <c r="H146" s="273">
        <f>IF(A146&lt;&gt;"","DERIVED","")</f>
        <v/>
      </c>
    </row>
    <row r="147">
      <c r="A147" s="273">
        <f>IF(DATA_IO!A144&lt;&gt;"",""&amp;DATA_IO!A144,"")</f>
        <v/>
      </c>
      <c r="B147" s="273">
        <f>IF(A147&lt;&gt;"","IO","")</f>
        <v/>
      </c>
      <c r="C147" s="273">
        <f>IF(A147&lt;&gt;"",""&amp;DATA_IO!B144,"")</f>
        <v/>
      </c>
      <c r="D147" s="273">
        <f>IF(A147&lt;&gt;"",""&amp;DATA_IO!C144,"")</f>
        <v/>
      </c>
      <c r="E147" s="273">
        <f>IF(A147&lt;&gt;"",""&amp;DATA_IO!D144,"")</f>
        <v/>
      </c>
      <c r="F147" s="274">
        <f>IF(A147&lt;&gt;"",DATA_IO!G144,"")</f>
        <v/>
      </c>
      <c r="G147" s="273">
        <f>IF(A147&lt;&gt;"",""&amp;DATA_IO!E144,"")</f>
        <v/>
      </c>
      <c r="H147" s="273">
        <f>IF(A147&lt;&gt;"","DERIVED","")</f>
        <v/>
      </c>
    </row>
    <row r="148">
      <c r="A148" s="273">
        <f>IF(DATA_IO!A145&lt;&gt;"",""&amp;DATA_IO!A145,"")</f>
        <v/>
      </c>
      <c r="B148" s="273">
        <f>IF(A148&lt;&gt;"","IO","")</f>
        <v/>
      </c>
      <c r="C148" s="273">
        <f>IF(A148&lt;&gt;"",""&amp;DATA_IO!B145,"")</f>
        <v/>
      </c>
      <c r="D148" s="273">
        <f>IF(A148&lt;&gt;"",""&amp;DATA_IO!C145,"")</f>
        <v/>
      </c>
      <c r="E148" s="273">
        <f>IF(A148&lt;&gt;"",""&amp;DATA_IO!D145,"")</f>
        <v/>
      </c>
      <c r="F148" s="274">
        <f>IF(A148&lt;&gt;"",DATA_IO!G145,"")</f>
        <v/>
      </c>
      <c r="G148" s="273">
        <f>IF(A148&lt;&gt;"",""&amp;DATA_IO!E145,"")</f>
        <v/>
      </c>
      <c r="H148" s="273">
        <f>IF(A148&lt;&gt;"","DERIVED","")</f>
        <v/>
      </c>
    </row>
    <row r="149">
      <c r="A149" s="273">
        <f>IF(DATA_IO!A146&lt;&gt;"",""&amp;DATA_IO!A146,"")</f>
        <v/>
      </c>
      <c r="B149" s="273">
        <f>IF(A149&lt;&gt;"","IO","")</f>
        <v/>
      </c>
      <c r="C149" s="273">
        <f>IF(A149&lt;&gt;"",""&amp;DATA_IO!B146,"")</f>
        <v/>
      </c>
      <c r="D149" s="273">
        <f>IF(A149&lt;&gt;"",""&amp;DATA_IO!C146,"")</f>
        <v/>
      </c>
      <c r="E149" s="273">
        <f>IF(A149&lt;&gt;"",""&amp;DATA_IO!D146,"")</f>
        <v/>
      </c>
      <c r="F149" s="274">
        <f>IF(A149&lt;&gt;"",DATA_IO!G146,"")</f>
        <v/>
      </c>
      <c r="G149" s="273">
        <f>IF(A149&lt;&gt;"",""&amp;DATA_IO!E146,"")</f>
        <v/>
      </c>
      <c r="H149" s="273">
        <f>IF(A149&lt;&gt;"","DERIVED","")</f>
        <v/>
      </c>
    </row>
    <row r="150">
      <c r="A150" s="273">
        <f>IF(DATA_IO!A147&lt;&gt;"",""&amp;DATA_IO!A147,"")</f>
        <v/>
      </c>
      <c r="B150" s="273">
        <f>IF(A150&lt;&gt;"","IO","")</f>
        <v/>
      </c>
      <c r="C150" s="273">
        <f>IF(A150&lt;&gt;"",""&amp;DATA_IO!B147,"")</f>
        <v/>
      </c>
      <c r="D150" s="273">
        <f>IF(A150&lt;&gt;"",""&amp;DATA_IO!C147,"")</f>
        <v/>
      </c>
      <c r="E150" s="273">
        <f>IF(A150&lt;&gt;"",""&amp;DATA_IO!D147,"")</f>
        <v/>
      </c>
      <c r="F150" s="274">
        <f>IF(A150&lt;&gt;"",DATA_IO!G147,"")</f>
        <v/>
      </c>
      <c r="G150" s="273">
        <f>IF(A150&lt;&gt;"",""&amp;DATA_IO!E147,"")</f>
        <v/>
      </c>
      <c r="H150" s="273">
        <f>IF(A150&lt;&gt;"","DERIVED","")</f>
        <v/>
      </c>
    </row>
    <row r="151">
      <c r="A151" s="273">
        <f>IF(DATA_IO!A148&lt;&gt;"",""&amp;DATA_IO!A148,"")</f>
        <v/>
      </c>
      <c r="B151" s="273">
        <f>IF(A151&lt;&gt;"","IO","")</f>
        <v/>
      </c>
      <c r="C151" s="273">
        <f>IF(A151&lt;&gt;"",""&amp;DATA_IO!B148,"")</f>
        <v/>
      </c>
      <c r="D151" s="273">
        <f>IF(A151&lt;&gt;"",""&amp;DATA_IO!C148,"")</f>
        <v/>
      </c>
      <c r="E151" s="273">
        <f>IF(A151&lt;&gt;"",""&amp;DATA_IO!D148,"")</f>
        <v/>
      </c>
      <c r="F151" s="274">
        <f>IF(A151&lt;&gt;"",DATA_IO!G148,"")</f>
        <v/>
      </c>
      <c r="G151" s="273">
        <f>IF(A151&lt;&gt;"",""&amp;DATA_IO!E148,"")</f>
        <v/>
      </c>
      <c r="H151" s="273">
        <f>IF(A151&lt;&gt;"","DERIVED","")</f>
        <v/>
      </c>
    </row>
    <row r="152">
      <c r="A152" s="273">
        <f>IF(DATA_IO!A149&lt;&gt;"",""&amp;DATA_IO!A149,"")</f>
        <v/>
      </c>
      <c r="B152" s="273">
        <f>IF(A152&lt;&gt;"","IO","")</f>
        <v/>
      </c>
      <c r="C152" s="273">
        <f>IF(A152&lt;&gt;"",""&amp;DATA_IO!B149,"")</f>
        <v/>
      </c>
      <c r="D152" s="273">
        <f>IF(A152&lt;&gt;"",""&amp;DATA_IO!C149,"")</f>
        <v/>
      </c>
      <c r="E152" s="273">
        <f>IF(A152&lt;&gt;"",""&amp;DATA_IO!D149,"")</f>
        <v/>
      </c>
      <c r="F152" s="274">
        <f>IF(A152&lt;&gt;"",DATA_IO!G149,"")</f>
        <v/>
      </c>
      <c r="G152" s="273">
        <f>IF(A152&lt;&gt;"",""&amp;DATA_IO!E149,"")</f>
        <v/>
      </c>
      <c r="H152" s="273">
        <f>IF(A152&lt;&gt;"","DERIVED","")</f>
        <v/>
      </c>
    </row>
    <row r="153">
      <c r="A153" s="273">
        <f>IF(DATA_IO!A150&lt;&gt;"",""&amp;DATA_IO!A150,"")</f>
        <v/>
      </c>
      <c r="B153" s="273">
        <f>IF(A153&lt;&gt;"","IO","")</f>
        <v/>
      </c>
      <c r="C153" s="273">
        <f>IF(A153&lt;&gt;"",""&amp;DATA_IO!B150,"")</f>
        <v/>
      </c>
      <c r="D153" s="273">
        <f>IF(A153&lt;&gt;"",""&amp;DATA_IO!C150,"")</f>
        <v/>
      </c>
      <c r="E153" s="273">
        <f>IF(A153&lt;&gt;"",""&amp;DATA_IO!D150,"")</f>
        <v/>
      </c>
      <c r="F153" s="274">
        <f>IF(A153&lt;&gt;"",DATA_IO!G150,"")</f>
        <v/>
      </c>
      <c r="G153" s="273">
        <f>IF(A153&lt;&gt;"",""&amp;DATA_IO!E150,"")</f>
        <v/>
      </c>
      <c r="H153" s="273">
        <f>IF(A153&lt;&gt;"","DERIVED","")</f>
        <v/>
      </c>
    </row>
    <row r="154">
      <c r="A154" s="273">
        <f>IF(DATA_IO!A151&lt;&gt;"",""&amp;DATA_IO!A151,"")</f>
        <v/>
      </c>
      <c r="B154" s="273">
        <f>IF(A154&lt;&gt;"","IO","")</f>
        <v/>
      </c>
      <c r="C154" s="273">
        <f>IF(A154&lt;&gt;"",""&amp;DATA_IO!B151,"")</f>
        <v/>
      </c>
      <c r="D154" s="273">
        <f>IF(A154&lt;&gt;"",""&amp;DATA_IO!C151,"")</f>
        <v/>
      </c>
      <c r="E154" s="273">
        <f>IF(A154&lt;&gt;"",""&amp;DATA_IO!D151,"")</f>
        <v/>
      </c>
      <c r="F154" s="274">
        <f>IF(A154&lt;&gt;"",DATA_IO!G151,"")</f>
        <v/>
      </c>
      <c r="G154" s="273">
        <f>IF(A154&lt;&gt;"",""&amp;DATA_IO!E151,"")</f>
        <v/>
      </c>
      <c r="H154" s="273">
        <f>IF(A154&lt;&gt;"","DERIVED","")</f>
        <v/>
      </c>
    </row>
    <row r="155">
      <c r="A155" s="273">
        <f>IF(DATA_IO!A152&lt;&gt;"",""&amp;DATA_IO!A152,"")</f>
        <v/>
      </c>
      <c r="B155" s="273">
        <f>IF(A155&lt;&gt;"","IO","")</f>
        <v/>
      </c>
      <c r="C155" s="273">
        <f>IF(A155&lt;&gt;"",""&amp;DATA_IO!B152,"")</f>
        <v/>
      </c>
      <c r="D155" s="273">
        <f>IF(A155&lt;&gt;"",""&amp;DATA_IO!C152,"")</f>
        <v/>
      </c>
      <c r="E155" s="273">
        <f>IF(A155&lt;&gt;"",""&amp;DATA_IO!D152,"")</f>
        <v/>
      </c>
      <c r="F155" s="274">
        <f>IF(A155&lt;&gt;"",DATA_IO!G152,"")</f>
        <v/>
      </c>
      <c r="G155" s="273">
        <f>IF(A155&lt;&gt;"",""&amp;DATA_IO!E152,"")</f>
        <v/>
      </c>
      <c r="H155" s="273">
        <f>IF(A155&lt;&gt;"","DERIVED","")</f>
        <v/>
      </c>
    </row>
    <row r="156">
      <c r="A156" s="273">
        <f>IF(DATA_IO!A153&lt;&gt;"",""&amp;DATA_IO!A153,"")</f>
        <v/>
      </c>
      <c r="B156" s="273">
        <f>IF(A156&lt;&gt;"","IO","")</f>
        <v/>
      </c>
      <c r="C156" s="273">
        <f>IF(A156&lt;&gt;"",""&amp;DATA_IO!B153,"")</f>
        <v/>
      </c>
      <c r="D156" s="273">
        <f>IF(A156&lt;&gt;"",""&amp;DATA_IO!C153,"")</f>
        <v/>
      </c>
      <c r="E156" s="273">
        <f>IF(A156&lt;&gt;"",""&amp;DATA_IO!D153,"")</f>
        <v/>
      </c>
      <c r="F156" s="274">
        <f>IF(A156&lt;&gt;"",DATA_IO!G153,"")</f>
        <v/>
      </c>
      <c r="G156" s="273">
        <f>IF(A156&lt;&gt;"",""&amp;DATA_IO!E153,"")</f>
        <v/>
      </c>
      <c r="H156" s="273">
        <f>IF(A156&lt;&gt;"","DERIVED","")</f>
        <v/>
      </c>
    </row>
    <row r="157">
      <c r="A157" s="273">
        <f>IF(DATA_IO!A154&lt;&gt;"",""&amp;DATA_IO!A154,"")</f>
        <v/>
      </c>
      <c r="B157" s="273">
        <f>IF(A157&lt;&gt;"","IO","")</f>
        <v/>
      </c>
      <c r="C157" s="273">
        <f>IF(A157&lt;&gt;"",""&amp;DATA_IO!B154,"")</f>
        <v/>
      </c>
      <c r="D157" s="273">
        <f>IF(A157&lt;&gt;"",""&amp;DATA_IO!C154,"")</f>
        <v/>
      </c>
      <c r="E157" s="273">
        <f>IF(A157&lt;&gt;"",""&amp;DATA_IO!D154,"")</f>
        <v/>
      </c>
      <c r="F157" s="274">
        <f>IF(A157&lt;&gt;"",DATA_IO!G154,"")</f>
        <v/>
      </c>
      <c r="G157" s="273">
        <f>IF(A157&lt;&gt;"",""&amp;DATA_IO!E154,"")</f>
        <v/>
      </c>
      <c r="H157" s="273">
        <f>IF(A157&lt;&gt;"","DERIVED","")</f>
        <v/>
      </c>
    </row>
    <row r="158">
      <c r="A158" s="273">
        <f>IF(DATA_IO!A155&lt;&gt;"",""&amp;DATA_IO!A155,"")</f>
        <v/>
      </c>
      <c r="B158" s="273">
        <f>IF(A158&lt;&gt;"","IO","")</f>
        <v/>
      </c>
      <c r="C158" s="273">
        <f>IF(A158&lt;&gt;"",""&amp;DATA_IO!B155,"")</f>
        <v/>
      </c>
      <c r="D158" s="273">
        <f>IF(A158&lt;&gt;"",""&amp;DATA_IO!C155,"")</f>
        <v/>
      </c>
      <c r="E158" s="273">
        <f>IF(A158&lt;&gt;"",""&amp;DATA_IO!D155,"")</f>
        <v/>
      </c>
      <c r="F158" s="274">
        <f>IF(A158&lt;&gt;"",DATA_IO!G155,"")</f>
        <v/>
      </c>
      <c r="G158" s="273">
        <f>IF(A158&lt;&gt;"",""&amp;DATA_IO!E155,"")</f>
        <v/>
      </c>
      <c r="H158" s="273">
        <f>IF(A158&lt;&gt;"","DERIVED","")</f>
        <v/>
      </c>
    </row>
    <row r="159">
      <c r="A159" s="273">
        <f>IF(DATA_IO!A156&lt;&gt;"",""&amp;DATA_IO!A156,"")</f>
        <v/>
      </c>
      <c r="B159" s="273">
        <f>IF(A159&lt;&gt;"","IO","")</f>
        <v/>
      </c>
      <c r="C159" s="273">
        <f>IF(A159&lt;&gt;"",""&amp;DATA_IO!B156,"")</f>
        <v/>
      </c>
      <c r="D159" s="273">
        <f>IF(A159&lt;&gt;"",""&amp;DATA_IO!C156,"")</f>
        <v/>
      </c>
      <c r="E159" s="273">
        <f>IF(A159&lt;&gt;"",""&amp;DATA_IO!D156,"")</f>
        <v/>
      </c>
      <c r="F159" s="274">
        <f>IF(A159&lt;&gt;"",DATA_IO!G156,"")</f>
        <v/>
      </c>
      <c r="G159" s="273">
        <f>IF(A159&lt;&gt;"",""&amp;DATA_IO!E156,"")</f>
        <v/>
      </c>
      <c r="H159" s="273">
        <f>IF(A159&lt;&gt;"","DERIVED","")</f>
        <v/>
      </c>
    </row>
    <row r="160">
      <c r="A160" s="273">
        <f>IF(DATA_IO!A157&lt;&gt;"",""&amp;DATA_IO!A157,"")</f>
        <v/>
      </c>
      <c r="B160" s="273">
        <f>IF(A160&lt;&gt;"","IO","")</f>
        <v/>
      </c>
      <c r="C160" s="273">
        <f>IF(A160&lt;&gt;"",""&amp;DATA_IO!B157,"")</f>
        <v/>
      </c>
      <c r="D160" s="273">
        <f>IF(A160&lt;&gt;"",""&amp;DATA_IO!C157,"")</f>
        <v/>
      </c>
      <c r="E160" s="273">
        <f>IF(A160&lt;&gt;"",""&amp;DATA_IO!D157,"")</f>
        <v/>
      </c>
      <c r="F160" s="274">
        <f>IF(A160&lt;&gt;"",DATA_IO!G157,"")</f>
        <v/>
      </c>
      <c r="G160" s="273">
        <f>IF(A160&lt;&gt;"",""&amp;DATA_IO!E157,"")</f>
        <v/>
      </c>
      <c r="H160" s="273">
        <f>IF(A160&lt;&gt;"","DERIVED","")</f>
        <v/>
      </c>
    </row>
    <row r="161">
      <c r="A161" s="273">
        <f>IF(DATA_IO!A158&lt;&gt;"",""&amp;DATA_IO!A158,"")</f>
        <v/>
      </c>
      <c r="B161" s="273">
        <f>IF(A161&lt;&gt;"","IO","")</f>
        <v/>
      </c>
      <c r="C161" s="273">
        <f>IF(A161&lt;&gt;"",""&amp;DATA_IO!B158,"")</f>
        <v/>
      </c>
      <c r="D161" s="273">
        <f>IF(A161&lt;&gt;"",""&amp;DATA_IO!C158,"")</f>
        <v/>
      </c>
      <c r="E161" s="273">
        <f>IF(A161&lt;&gt;"",""&amp;DATA_IO!D158,"")</f>
        <v/>
      </c>
      <c r="F161" s="274">
        <f>IF(A161&lt;&gt;"",DATA_IO!G158,"")</f>
        <v/>
      </c>
      <c r="G161" s="273">
        <f>IF(A161&lt;&gt;"",""&amp;DATA_IO!E158,"")</f>
        <v/>
      </c>
      <c r="H161" s="273">
        <f>IF(A161&lt;&gt;"","DERIVED","")</f>
        <v/>
      </c>
    </row>
    <row r="162">
      <c r="A162" s="273">
        <f>IF(DATA_IO!A159&lt;&gt;"",""&amp;DATA_IO!A159,"")</f>
        <v/>
      </c>
      <c r="B162" s="273">
        <f>IF(A162&lt;&gt;"","IO","")</f>
        <v/>
      </c>
      <c r="C162" s="273">
        <f>IF(A162&lt;&gt;"",""&amp;DATA_IO!B159,"")</f>
        <v/>
      </c>
      <c r="D162" s="273">
        <f>IF(A162&lt;&gt;"",""&amp;DATA_IO!C159,"")</f>
        <v/>
      </c>
      <c r="E162" s="273">
        <f>IF(A162&lt;&gt;"",""&amp;DATA_IO!D159,"")</f>
        <v/>
      </c>
      <c r="F162" s="274">
        <f>IF(A162&lt;&gt;"",DATA_IO!G159,"")</f>
        <v/>
      </c>
      <c r="G162" s="273">
        <f>IF(A162&lt;&gt;"",""&amp;DATA_IO!E159,"")</f>
        <v/>
      </c>
      <c r="H162" s="273">
        <f>IF(A162&lt;&gt;"","DERIVED","")</f>
        <v/>
      </c>
    </row>
    <row r="163">
      <c r="A163" s="273">
        <f>IF(DATA_IO!A160&lt;&gt;"",""&amp;DATA_IO!A160,"")</f>
        <v/>
      </c>
      <c r="B163" s="273">
        <f>IF(A163&lt;&gt;"","IO","")</f>
        <v/>
      </c>
      <c r="C163" s="273">
        <f>IF(A163&lt;&gt;"",""&amp;DATA_IO!B160,"")</f>
        <v/>
      </c>
      <c r="D163" s="273">
        <f>IF(A163&lt;&gt;"",""&amp;DATA_IO!C160,"")</f>
        <v/>
      </c>
      <c r="E163" s="273">
        <f>IF(A163&lt;&gt;"",""&amp;DATA_IO!D160,"")</f>
        <v/>
      </c>
      <c r="F163" s="274">
        <f>IF(A163&lt;&gt;"",DATA_IO!G160,"")</f>
        <v/>
      </c>
      <c r="G163" s="273">
        <f>IF(A163&lt;&gt;"",""&amp;DATA_IO!E160,"")</f>
        <v/>
      </c>
      <c r="H163" s="273">
        <f>IF(A163&lt;&gt;"","DERIVED","")</f>
        <v/>
      </c>
    </row>
    <row r="164">
      <c r="A164" s="273">
        <f>IF(DATA_IO!A161&lt;&gt;"",""&amp;DATA_IO!A161,"")</f>
        <v/>
      </c>
      <c r="B164" s="273">
        <f>IF(A164&lt;&gt;"","IO","")</f>
        <v/>
      </c>
      <c r="C164" s="273">
        <f>IF(A164&lt;&gt;"",""&amp;DATA_IO!B161,"")</f>
        <v/>
      </c>
      <c r="D164" s="273">
        <f>IF(A164&lt;&gt;"",""&amp;DATA_IO!C161,"")</f>
        <v/>
      </c>
      <c r="E164" s="273">
        <f>IF(A164&lt;&gt;"",""&amp;DATA_IO!D161,"")</f>
        <v/>
      </c>
      <c r="F164" s="274">
        <f>IF(A164&lt;&gt;"",DATA_IO!G161,"")</f>
        <v/>
      </c>
      <c r="G164" s="273">
        <f>IF(A164&lt;&gt;"",""&amp;DATA_IO!E161,"")</f>
        <v/>
      </c>
      <c r="H164" s="273">
        <f>IF(A164&lt;&gt;"","DERIVED","")</f>
        <v/>
      </c>
    </row>
    <row r="165">
      <c r="A165" s="273">
        <f>IF(DATA_IO!A162&lt;&gt;"",""&amp;DATA_IO!A162,"")</f>
        <v/>
      </c>
      <c r="B165" s="273">
        <f>IF(A165&lt;&gt;"","IO","")</f>
        <v/>
      </c>
      <c r="C165" s="273">
        <f>IF(A165&lt;&gt;"",""&amp;DATA_IO!B162,"")</f>
        <v/>
      </c>
      <c r="D165" s="273">
        <f>IF(A165&lt;&gt;"",""&amp;DATA_IO!C162,"")</f>
        <v/>
      </c>
      <c r="E165" s="273">
        <f>IF(A165&lt;&gt;"",""&amp;DATA_IO!D162,"")</f>
        <v/>
      </c>
      <c r="F165" s="274">
        <f>IF(A165&lt;&gt;"",DATA_IO!G162,"")</f>
        <v/>
      </c>
      <c r="G165" s="273">
        <f>IF(A165&lt;&gt;"",""&amp;DATA_IO!E162,"")</f>
        <v/>
      </c>
      <c r="H165" s="273">
        <f>IF(A165&lt;&gt;"","DERIVED","")</f>
        <v/>
      </c>
    </row>
    <row r="166">
      <c r="A166" s="273">
        <f>IF(DATA_IO!A163&lt;&gt;"",""&amp;DATA_IO!A163,"")</f>
        <v/>
      </c>
      <c r="B166" s="273">
        <f>IF(A166&lt;&gt;"","IO","")</f>
        <v/>
      </c>
      <c r="C166" s="273">
        <f>IF(A166&lt;&gt;"",""&amp;DATA_IO!B163,"")</f>
        <v/>
      </c>
      <c r="D166" s="273">
        <f>IF(A166&lt;&gt;"",""&amp;DATA_IO!C163,"")</f>
        <v/>
      </c>
      <c r="E166" s="273">
        <f>IF(A166&lt;&gt;"",""&amp;DATA_IO!D163,"")</f>
        <v/>
      </c>
      <c r="F166" s="274">
        <f>IF(A166&lt;&gt;"",DATA_IO!G163,"")</f>
        <v/>
      </c>
      <c r="G166" s="273">
        <f>IF(A166&lt;&gt;"",""&amp;DATA_IO!E163,"")</f>
        <v/>
      </c>
      <c r="H166" s="273">
        <f>IF(A166&lt;&gt;"","DERIVED","")</f>
        <v/>
      </c>
    </row>
    <row r="167">
      <c r="A167" s="273">
        <f>IF(DATA_IO!A164&lt;&gt;"",""&amp;DATA_IO!A164,"")</f>
        <v/>
      </c>
      <c r="B167" s="273">
        <f>IF(A167&lt;&gt;"","IO","")</f>
        <v/>
      </c>
      <c r="C167" s="273">
        <f>IF(A167&lt;&gt;"",""&amp;DATA_IO!B164,"")</f>
        <v/>
      </c>
      <c r="D167" s="273">
        <f>IF(A167&lt;&gt;"",""&amp;DATA_IO!C164,"")</f>
        <v/>
      </c>
      <c r="E167" s="273">
        <f>IF(A167&lt;&gt;"",""&amp;DATA_IO!D164,"")</f>
        <v/>
      </c>
      <c r="F167" s="274">
        <f>IF(A167&lt;&gt;"",DATA_IO!G164,"")</f>
        <v/>
      </c>
      <c r="G167" s="273">
        <f>IF(A167&lt;&gt;"",""&amp;DATA_IO!E164,"")</f>
        <v/>
      </c>
      <c r="H167" s="273">
        <f>IF(A167&lt;&gt;"","DERIVED","")</f>
        <v/>
      </c>
    </row>
    <row r="168">
      <c r="A168" s="273">
        <f>IF(DATA_IO!A165&lt;&gt;"",""&amp;DATA_IO!A165,"")</f>
        <v/>
      </c>
      <c r="B168" s="273">
        <f>IF(A168&lt;&gt;"","IO","")</f>
        <v/>
      </c>
      <c r="C168" s="273">
        <f>IF(A168&lt;&gt;"",""&amp;DATA_IO!B165,"")</f>
        <v/>
      </c>
      <c r="D168" s="273">
        <f>IF(A168&lt;&gt;"",""&amp;DATA_IO!C165,"")</f>
        <v/>
      </c>
      <c r="E168" s="273">
        <f>IF(A168&lt;&gt;"",""&amp;DATA_IO!D165,"")</f>
        <v/>
      </c>
      <c r="F168" s="274">
        <f>IF(A168&lt;&gt;"",DATA_IO!G165,"")</f>
        <v/>
      </c>
      <c r="G168" s="273">
        <f>IF(A168&lt;&gt;"",""&amp;DATA_IO!E165,"")</f>
        <v/>
      </c>
      <c r="H168" s="273">
        <f>IF(A168&lt;&gt;"","DERIVED","")</f>
        <v/>
      </c>
    </row>
    <row r="169">
      <c r="A169" s="273">
        <f>IF(DATA_IO!A166&lt;&gt;"",""&amp;DATA_IO!A166,"")</f>
        <v/>
      </c>
      <c r="B169" s="273">
        <f>IF(A169&lt;&gt;"","IO","")</f>
        <v/>
      </c>
      <c r="C169" s="273">
        <f>IF(A169&lt;&gt;"",""&amp;DATA_IO!B166,"")</f>
        <v/>
      </c>
      <c r="D169" s="273">
        <f>IF(A169&lt;&gt;"",""&amp;DATA_IO!C166,"")</f>
        <v/>
      </c>
      <c r="E169" s="273">
        <f>IF(A169&lt;&gt;"",""&amp;DATA_IO!D166,"")</f>
        <v/>
      </c>
      <c r="F169" s="274">
        <f>IF(A169&lt;&gt;"",DATA_IO!G166,"")</f>
        <v/>
      </c>
      <c r="G169" s="273">
        <f>IF(A169&lt;&gt;"",""&amp;DATA_IO!E166,"")</f>
        <v/>
      </c>
      <c r="H169" s="273">
        <f>IF(A169&lt;&gt;"","DERIVED","")</f>
        <v/>
      </c>
    </row>
    <row r="170">
      <c r="A170" s="273">
        <f>IF(DATA_IO!A167&lt;&gt;"",""&amp;DATA_IO!A167,"")</f>
        <v/>
      </c>
      <c r="B170" s="273">
        <f>IF(A170&lt;&gt;"","IO","")</f>
        <v/>
      </c>
      <c r="C170" s="273">
        <f>IF(A170&lt;&gt;"",""&amp;DATA_IO!B167,"")</f>
        <v/>
      </c>
      <c r="D170" s="273">
        <f>IF(A170&lt;&gt;"",""&amp;DATA_IO!C167,"")</f>
        <v/>
      </c>
      <c r="E170" s="273">
        <f>IF(A170&lt;&gt;"",""&amp;DATA_IO!D167,"")</f>
        <v/>
      </c>
      <c r="F170" s="274">
        <f>IF(A170&lt;&gt;"",DATA_IO!G167,"")</f>
        <v/>
      </c>
      <c r="G170" s="273">
        <f>IF(A170&lt;&gt;"",""&amp;DATA_IO!E167,"")</f>
        <v/>
      </c>
      <c r="H170" s="273">
        <f>IF(A170&lt;&gt;"","DERIVED","")</f>
        <v/>
      </c>
    </row>
    <row r="171">
      <c r="A171" s="273">
        <f>IF(DATA_IO!A168&lt;&gt;"",""&amp;DATA_IO!A168,"")</f>
        <v/>
      </c>
      <c r="B171" s="273">
        <f>IF(A171&lt;&gt;"","IO","")</f>
        <v/>
      </c>
      <c r="C171" s="273">
        <f>IF(A171&lt;&gt;"",""&amp;DATA_IO!B168,"")</f>
        <v/>
      </c>
      <c r="D171" s="273">
        <f>IF(A171&lt;&gt;"",""&amp;DATA_IO!C168,"")</f>
        <v/>
      </c>
      <c r="E171" s="273">
        <f>IF(A171&lt;&gt;"",""&amp;DATA_IO!D168,"")</f>
        <v/>
      </c>
      <c r="F171" s="274">
        <f>IF(A171&lt;&gt;"",DATA_IO!G168,"")</f>
        <v/>
      </c>
      <c r="G171" s="273">
        <f>IF(A171&lt;&gt;"",""&amp;DATA_IO!E168,"")</f>
        <v/>
      </c>
      <c r="H171" s="273">
        <f>IF(A171&lt;&gt;"","DERIVED","")</f>
        <v/>
      </c>
    </row>
    <row r="172">
      <c r="A172" s="273">
        <f>IF(DATA_IO!A169&lt;&gt;"",""&amp;DATA_IO!A169,"")</f>
        <v/>
      </c>
      <c r="B172" s="273">
        <f>IF(A172&lt;&gt;"","IO","")</f>
        <v/>
      </c>
      <c r="C172" s="273">
        <f>IF(A172&lt;&gt;"",""&amp;DATA_IO!B169,"")</f>
        <v/>
      </c>
      <c r="D172" s="273">
        <f>IF(A172&lt;&gt;"",""&amp;DATA_IO!C169,"")</f>
        <v/>
      </c>
      <c r="E172" s="273">
        <f>IF(A172&lt;&gt;"",""&amp;DATA_IO!D169,"")</f>
        <v/>
      </c>
      <c r="F172" s="274">
        <f>IF(A172&lt;&gt;"",DATA_IO!G169,"")</f>
        <v/>
      </c>
      <c r="G172" s="273">
        <f>IF(A172&lt;&gt;"",""&amp;DATA_IO!E169,"")</f>
        <v/>
      </c>
      <c r="H172" s="273">
        <f>IF(A172&lt;&gt;"","DERIVED","")</f>
        <v/>
      </c>
    </row>
    <row r="173">
      <c r="A173" s="273">
        <f>IF(DATA_IO!A170&lt;&gt;"",""&amp;DATA_IO!A170,"")</f>
        <v/>
      </c>
      <c r="B173" s="273">
        <f>IF(A173&lt;&gt;"","IO","")</f>
        <v/>
      </c>
      <c r="C173" s="273">
        <f>IF(A173&lt;&gt;"",""&amp;DATA_IO!B170,"")</f>
        <v/>
      </c>
      <c r="D173" s="273">
        <f>IF(A173&lt;&gt;"",""&amp;DATA_IO!C170,"")</f>
        <v/>
      </c>
      <c r="E173" s="273">
        <f>IF(A173&lt;&gt;"",""&amp;DATA_IO!D170,"")</f>
        <v/>
      </c>
      <c r="F173" s="274">
        <f>IF(A173&lt;&gt;"",DATA_IO!G170,"")</f>
        <v/>
      </c>
      <c r="G173" s="273">
        <f>IF(A173&lt;&gt;"",""&amp;DATA_IO!E170,"")</f>
        <v/>
      </c>
      <c r="H173" s="273">
        <f>IF(A173&lt;&gt;"","DERIVED","")</f>
        <v/>
      </c>
    </row>
    <row r="174">
      <c r="A174" s="273">
        <f>IF(DATA_IO!A171&lt;&gt;"",""&amp;DATA_IO!A171,"")</f>
        <v/>
      </c>
      <c r="B174" s="273">
        <f>IF(A174&lt;&gt;"","IO","")</f>
        <v/>
      </c>
      <c r="C174" s="273">
        <f>IF(A174&lt;&gt;"",""&amp;DATA_IO!B171,"")</f>
        <v/>
      </c>
      <c r="D174" s="273">
        <f>IF(A174&lt;&gt;"",""&amp;DATA_IO!C171,"")</f>
        <v/>
      </c>
      <c r="E174" s="273">
        <f>IF(A174&lt;&gt;"",""&amp;DATA_IO!D171,"")</f>
        <v/>
      </c>
      <c r="F174" s="274">
        <f>IF(A174&lt;&gt;"",DATA_IO!G171,"")</f>
        <v/>
      </c>
      <c r="G174" s="273">
        <f>IF(A174&lt;&gt;"",""&amp;DATA_IO!E171,"")</f>
        <v/>
      </c>
      <c r="H174" s="273">
        <f>IF(A174&lt;&gt;"","DERIVED","")</f>
        <v/>
      </c>
    </row>
    <row r="175">
      <c r="A175" s="273">
        <f>IF(DATA_IO!A172&lt;&gt;"",""&amp;DATA_IO!A172,"")</f>
        <v/>
      </c>
      <c r="B175" s="273">
        <f>IF(A175&lt;&gt;"","IO","")</f>
        <v/>
      </c>
      <c r="C175" s="273">
        <f>IF(A175&lt;&gt;"",""&amp;DATA_IO!B172,"")</f>
        <v/>
      </c>
      <c r="D175" s="273">
        <f>IF(A175&lt;&gt;"",""&amp;DATA_IO!C172,"")</f>
        <v/>
      </c>
      <c r="E175" s="273">
        <f>IF(A175&lt;&gt;"",""&amp;DATA_IO!D172,"")</f>
        <v/>
      </c>
      <c r="F175" s="274">
        <f>IF(A175&lt;&gt;"",DATA_IO!G172,"")</f>
        <v/>
      </c>
      <c r="G175" s="273">
        <f>IF(A175&lt;&gt;"",""&amp;DATA_IO!E172,"")</f>
        <v/>
      </c>
      <c r="H175" s="273">
        <f>IF(A175&lt;&gt;"","DERIVED","")</f>
        <v/>
      </c>
    </row>
    <row r="176">
      <c r="A176" s="273">
        <f>IF(DATA_IO!A173&lt;&gt;"",""&amp;DATA_IO!A173,"")</f>
        <v/>
      </c>
      <c r="B176" s="273">
        <f>IF(A176&lt;&gt;"","IO","")</f>
        <v/>
      </c>
      <c r="C176" s="273">
        <f>IF(A176&lt;&gt;"",""&amp;DATA_IO!B173,"")</f>
        <v/>
      </c>
      <c r="D176" s="273">
        <f>IF(A176&lt;&gt;"",""&amp;DATA_IO!C173,"")</f>
        <v/>
      </c>
      <c r="E176" s="273">
        <f>IF(A176&lt;&gt;"",""&amp;DATA_IO!D173,"")</f>
        <v/>
      </c>
      <c r="F176" s="274">
        <f>IF(A176&lt;&gt;"",DATA_IO!G173,"")</f>
        <v/>
      </c>
      <c r="G176" s="273">
        <f>IF(A176&lt;&gt;"",""&amp;DATA_IO!E173,"")</f>
        <v/>
      </c>
      <c r="H176" s="273">
        <f>IF(A176&lt;&gt;"","DERIVED","")</f>
        <v/>
      </c>
    </row>
    <row r="177">
      <c r="A177" s="273">
        <f>IF(DATA_IO!A174&lt;&gt;"",""&amp;DATA_IO!A174,"")</f>
        <v/>
      </c>
      <c r="B177" s="273">
        <f>IF(A177&lt;&gt;"","IO","")</f>
        <v/>
      </c>
      <c r="C177" s="273">
        <f>IF(A177&lt;&gt;"",""&amp;DATA_IO!B174,"")</f>
        <v/>
      </c>
      <c r="D177" s="273">
        <f>IF(A177&lt;&gt;"",""&amp;DATA_IO!C174,"")</f>
        <v/>
      </c>
      <c r="E177" s="273">
        <f>IF(A177&lt;&gt;"",""&amp;DATA_IO!D174,"")</f>
        <v/>
      </c>
      <c r="F177" s="274">
        <f>IF(A177&lt;&gt;"",DATA_IO!G174,"")</f>
        <v/>
      </c>
      <c r="G177" s="273">
        <f>IF(A177&lt;&gt;"",""&amp;DATA_IO!E174,"")</f>
        <v/>
      </c>
      <c r="H177" s="273">
        <f>IF(A177&lt;&gt;"","DERIVED","")</f>
        <v/>
      </c>
    </row>
    <row r="178">
      <c r="A178" s="273">
        <f>IF(DATA_IO!A175&lt;&gt;"",""&amp;DATA_IO!A175,"")</f>
        <v/>
      </c>
      <c r="B178" s="273">
        <f>IF(A178&lt;&gt;"","IO","")</f>
        <v/>
      </c>
      <c r="C178" s="273">
        <f>IF(A178&lt;&gt;"",""&amp;DATA_IO!B175,"")</f>
        <v/>
      </c>
      <c r="D178" s="273">
        <f>IF(A178&lt;&gt;"",""&amp;DATA_IO!C175,"")</f>
        <v/>
      </c>
      <c r="E178" s="273">
        <f>IF(A178&lt;&gt;"",""&amp;DATA_IO!D175,"")</f>
        <v/>
      </c>
      <c r="F178" s="274">
        <f>IF(A178&lt;&gt;"",DATA_IO!G175,"")</f>
        <v/>
      </c>
      <c r="G178" s="273">
        <f>IF(A178&lt;&gt;"",""&amp;DATA_IO!E175,"")</f>
        <v/>
      </c>
      <c r="H178" s="273">
        <f>IF(A178&lt;&gt;"","DERIVED","")</f>
        <v/>
      </c>
    </row>
    <row r="179">
      <c r="A179" s="273">
        <f>IF(DATA_IO!A176&lt;&gt;"",""&amp;DATA_IO!A176,"")</f>
        <v/>
      </c>
      <c r="B179" s="273">
        <f>IF(A179&lt;&gt;"","IO","")</f>
        <v/>
      </c>
      <c r="C179" s="273">
        <f>IF(A179&lt;&gt;"",""&amp;DATA_IO!B176,"")</f>
        <v/>
      </c>
      <c r="D179" s="273">
        <f>IF(A179&lt;&gt;"",""&amp;DATA_IO!C176,"")</f>
        <v/>
      </c>
      <c r="E179" s="273">
        <f>IF(A179&lt;&gt;"",""&amp;DATA_IO!D176,"")</f>
        <v/>
      </c>
      <c r="F179" s="274">
        <f>IF(A179&lt;&gt;"",DATA_IO!G176,"")</f>
        <v/>
      </c>
      <c r="G179" s="273">
        <f>IF(A179&lt;&gt;"",""&amp;DATA_IO!E176,"")</f>
        <v/>
      </c>
      <c r="H179" s="273">
        <f>IF(A179&lt;&gt;"","DERIVED","")</f>
        <v/>
      </c>
    </row>
    <row r="180">
      <c r="A180" s="273">
        <f>IF(DATA_IO!A177&lt;&gt;"",""&amp;DATA_IO!A177,"")</f>
        <v/>
      </c>
      <c r="B180" s="273">
        <f>IF(A180&lt;&gt;"","IO","")</f>
        <v/>
      </c>
      <c r="C180" s="273">
        <f>IF(A180&lt;&gt;"",""&amp;DATA_IO!B177,"")</f>
        <v/>
      </c>
      <c r="D180" s="273">
        <f>IF(A180&lt;&gt;"",""&amp;DATA_IO!C177,"")</f>
        <v/>
      </c>
      <c r="E180" s="273">
        <f>IF(A180&lt;&gt;"",""&amp;DATA_IO!D177,"")</f>
        <v/>
      </c>
      <c r="F180" s="274">
        <f>IF(A180&lt;&gt;"",DATA_IO!G177,"")</f>
        <v/>
      </c>
      <c r="G180" s="273">
        <f>IF(A180&lt;&gt;"",""&amp;DATA_IO!E177,"")</f>
        <v/>
      </c>
      <c r="H180" s="273">
        <f>IF(A180&lt;&gt;"","DERIVED","")</f>
        <v/>
      </c>
    </row>
    <row r="181">
      <c r="A181" s="273">
        <f>IF(DATA_IO!A178&lt;&gt;"",""&amp;DATA_IO!A178,"")</f>
        <v/>
      </c>
      <c r="B181" s="273">
        <f>IF(A181&lt;&gt;"","IO","")</f>
        <v/>
      </c>
      <c r="C181" s="273">
        <f>IF(A181&lt;&gt;"",""&amp;DATA_IO!B178,"")</f>
        <v/>
      </c>
      <c r="D181" s="273">
        <f>IF(A181&lt;&gt;"",""&amp;DATA_IO!C178,"")</f>
        <v/>
      </c>
      <c r="E181" s="273">
        <f>IF(A181&lt;&gt;"",""&amp;DATA_IO!D178,"")</f>
        <v/>
      </c>
      <c r="F181" s="274">
        <f>IF(A181&lt;&gt;"",DATA_IO!G178,"")</f>
        <v/>
      </c>
      <c r="G181" s="273">
        <f>IF(A181&lt;&gt;"",""&amp;DATA_IO!E178,"")</f>
        <v/>
      </c>
      <c r="H181" s="273">
        <f>IF(A181&lt;&gt;"","DERIVED","")</f>
        <v/>
      </c>
    </row>
    <row r="182">
      <c r="A182" s="273">
        <f>IF(DATA_IO!A179&lt;&gt;"",""&amp;DATA_IO!A179,"")</f>
        <v/>
      </c>
      <c r="B182" s="273">
        <f>IF(A182&lt;&gt;"","IO","")</f>
        <v/>
      </c>
      <c r="C182" s="273">
        <f>IF(A182&lt;&gt;"",""&amp;DATA_IO!B179,"")</f>
        <v/>
      </c>
      <c r="D182" s="273">
        <f>IF(A182&lt;&gt;"",""&amp;DATA_IO!C179,"")</f>
        <v/>
      </c>
      <c r="E182" s="273">
        <f>IF(A182&lt;&gt;"",""&amp;DATA_IO!D179,"")</f>
        <v/>
      </c>
      <c r="F182" s="274">
        <f>IF(A182&lt;&gt;"",DATA_IO!G179,"")</f>
        <v/>
      </c>
      <c r="G182" s="273">
        <f>IF(A182&lt;&gt;"",""&amp;DATA_IO!E179,"")</f>
        <v/>
      </c>
      <c r="H182" s="273">
        <f>IF(A182&lt;&gt;"","DERIVED","")</f>
        <v/>
      </c>
    </row>
    <row r="183">
      <c r="A183" s="273">
        <f>IF(DATA_IO!A180&lt;&gt;"",""&amp;DATA_IO!A180,"")</f>
        <v/>
      </c>
      <c r="B183" s="273">
        <f>IF(A183&lt;&gt;"","IO","")</f>
        <v/>
      </c>
      <c r="C183" s="273">
        <f>IF(A183&lt;&gt;"",""&amp;DATA_IO!B180,"")</f>
        <v/>
      </c>
      <c r="D183" s="273">
        <f>IF(A183&lt;&gt;"",""&amp;DATA_IO!C180,"")</f>
        <v/>
      </c>
      <c r="E183" s="273">
        <f>IF(A183&lt;&gt;"",""&amp;DATA_IO!D180,"")</f>
        <v/>
      </c>
      <c r="F183" s="274">
        <f>IF(A183&lt;&gt;"",DATA_IO!G180,"")</f>
        <v/>
      </c>
      <c r="G183" s="273">
        <f>IF(A183&lt;&gt;"",""&amp;DATA_IO!E180,"")</f>
        <v/>
      </c>
      <c r="H183" s="273">
        <f>IF(A183&lt;&gt;"","DERIVED","")</f>
        <v/>
      </c>
    </row>
    <row r="184">
      <c r="A184" s="273">
        <f>IF(DATA_IO!A181&lt;&gt;"",""&amp;DATA_IO!A181,"")</f>
        <v/>
      </c>
      <c r="B184" s="273">
        <f>IF(A184&lt;&gt;"","IO","")</f>
        <v/>
      </c>
      <c r="C184" s="273">
        <f>IF(A184&lt;&gt;"",""&amp;DATA_IO!B181,"")</f>
        <v/>
      </c>
      <c r="D184" s="273">
        <f>IF(A184&lt;&gt;"",""&amp;DATA_IO!C181,"")</f>
        <v/>
      </c>
      <c r="E184" s="273">
        <f>IF(A184&lt;&gt;"",""&amp;DATA_IO!D181,"")</f>
        <v/>
      </c>
      <c r="F184" s="274">
        <f>IF(A184&lt;&gt;"",DATA_IO!G181,"")</f>
        <v/>
      </c>
      <c r="G184" s="273">
        <f>IF(A184&lt;&gt;"",""&amp;DATA_IO!E181,"")</f>
        <v/>
      </c>
      <c r="H184" s="273">
        <f>IF(A184&lt;&gt;"","DERIVED","")</f>
        <v/>
      </c>
    </row>
    <row r="185">
      <c r="A185" s="273">
        <f>IF(DATA_IO!A182&lt;&gt;"",""&amp;DATA_IO!A182,"")</f>
        <v/>
      </c>
      <c r="B185" s="273">
        <f>IF(A185&lt;&gt;"","IO","")</f>
        <v/>
      </c>
      <c r="C185" s="273">
        <f>IF(A185&lt;&gt;"",""&amp;DATA_IO!B182,"")</f>
        <v/>
      </c>
      <c r="D185" s="273">
        <f>IF(A185&lt;&gt;"",""&amp;DATA_IO!C182,"")</f>
        <v/>
      </c>
      <c r="E185" s="273">
        <f>IF(A185&lt;&gt;"",""&amp;DATA_IO!D182,"")</f>
        <v/>
      </c>
      <c r="F185" s="274">
        <f>IF(A185&lt;&gt;"",DATA_IO!G182,"")</f>
        <v/>
      </c>
      <c r="G185" s="273">
        <f>IF(A185&lt;&gt;"",""&amp;DATA_IO!E182,"")</f>
        <v/>
      </c>
      <c r="H185" s="273">
        <f>IF(A185&lt;&gt;"","DERIVED","")</f>
        <v/>
      </c>
    </row>
    <row r="186">
      <c r="A186" s="273">
        <f>IF(DATA_IO!A183&lt;&gt;"",""&amp;DATA_IO!A183,"")</f>
        <v/>
      </c>
      <c r="B186" s="273">
        <f>IF(A186&lt;&gt;"","IO","")</f>
        <v/>
      </c>
      <c r="C186" s="273">
        <f>IF(A186&lt;&gt;"",""&amp;DATA_IO!B183,"")</f>
        <v/>
      </c>
      <c r="D186" s="273">
        <f>IF(A186&lt;&gt;"",""&amp;DATA_IO!C183,"")</f>
        <v/>
      </c>
      <c r="E186" s="273">
        <f>IF(A186&lt;&gt;"",""&amp;DATA_IO!D183,"")</f>
        <v/>
      </c>
      <c r="F186" s="274">
        <f>IF(A186&lt;&gt;"",DATA_IO!G183,"")</f>
        <v/>
      </c>
      <c r="G186" s="273">
        <f>IF(A186&lt;&gt;"",""&amp;DATA_IO!E183,"")</f>
        <v/>
      </c>
      <c r="H186" s="273">
        <f>IF(A186&lt;&gt;"","DERIVED","")</f>
        <v/>
      </c>
    </row>
    <row r="187">
      <c r="A187" s="273">
        <f>IF(DATA_IO!A184&lt;&gt;"",""&amp;DATA_IO!A184,"")</f>
        <v/>
      </c>
      <c r="B187" s="273">
        <f>IF(A187&lt;&gt;"","IO","")</f>
        <v/>
      </c>
      <c r="C187" s="273">
        <f>IF(A187&lt;&gt;"",""&amp;DATA_IO!B184,"")</f>
        <v/>
      </c>
      <c r="D187" s="273">
        <f>IF(A187&lt;&gt;"",""&amp;DATA_IO!C184,"")</f>
        <v/>
      </c>
      <c r="E187" s="273">
        <f>IF(A187&lt;&gt;"",""&amp;DATA_IO!D184,"")</f>
        <v/>
      </c>
      <c r="F187" s="274">
        <f>IF(A187&lt;&gt;"",DATA_IO!G184,"")</f>
        <v/>
      </c>
      <c r="G187" s="273">
        <f>IF(A187&lt;&gt;"",""&amp;DATA_IO!E184,"")</f>
        <v/>
      </c>
      <c r="H187" s="273">
        <f>IF(A187&lt;&gt;"","DERIVED","")</f>
        <v/>
      </c>
    </row>
    <row r="188">
      <c r="A188" s="273">
        <f>IF(DATA_IO!A185&lt;&gt;"",""&amp;DATA_IO!A185,"")</f>
        <v/>
      </c>
      <c r="B188" s="273">
        <f>IF(A188&lt;&gt;"","IO","")</f>
        <v/>
      </c>
      <c r="C188" s="273">
        <f>IF(A188&lt;&gt;"",""&amp;DATA_IO!B185,"")</f>
        <v/>
      </c>
      <c r="D188" s="273">
        <f>IF(A188&lt;&gt;"",""&amp;DATA_IO!C185,"")</f>
        <v/>
      </c>
      <c r="E188" s="273">
        <f>IF(A188&lt;&gt;"",""&amp;DATA_IO!D185,"")</f>
        <v/>
      </c>
      <c r="F188" s="274">
        <f>IF(A188&lt;&gt;"",DATA_IO!G185,"")</f>
        <v/>
      </c>
      <c r="G188" s="273">
        <f>IF(A188&lt;&gt;"",""&amp;DATA_IO!E185,"")</f>
        <v/>
      </c>
      <c r="H188" s="273">
        <f>IF(A188&lt;&gt;"","DERIVED","")</f>
        <v/>
      </c>
    </row>
    <row r="189">
      <c r="A189" s="273">
        <f>IF(DATA_IO!A186&lt;&gt;"",""&amp;DATA_IO!A186,"")</f>
        <v/>
      </c>
      <c r="B189" s="273">
        <f>IF(A189&lt;&gt;"","IO","")</f>
        <v/>
      </c>
      <c r="C189" s="273">
        <f>IF(A189&lt;&gt;"",""&amp;DATA_IO!B186,"")</f>
        <v/>
      </c>
      <c r="D189" s="273">
        <f>IF(A189&lt;&gt;"",""&amp;DATA_IO!C186,"")</f>
        <v/>
      </c>
      <c r="E189" s="273">
        <f>IF(A189&lt;&gt;"",""&amp;DATA_IO!D186,"")</f>
        <v/>
      </c>
      <c r="F189" s="274">
        <f>IF(A189&lt;&gt;"",DATA_IO!G186,"")</f>
        <v/>
      </c>
      <c r="G189" s="273">
        <f>IF(A189&lt;&gt;"",""&amp;DATA_IO!E186,"")</f>
        <v/>
      </c>
      <c r="H189" s="273">
        <f>IF(A189&lt;&gt;"","DERIVED","")</f>
        <v/>
      </c>
    </row>
    <row r="190">
      <c r="A190" s="273">
        <f>IF(DATA_IO!A187&lt;&gt;"",""&amp;DATA_IO!A187,"")</f>
        <v/>
      </c>
      <c r="B190" s="273">
        <f>IF(A190&lt;&gt;"","IO","")</f>
        <v/>
      </c>
      <c r="C190" s="273">
        <f>IF(A190&lt;&gt;"",""&amp;DATA_IO!B187,"")</f>
        <v/>
      </c>
      <c r="D190" s="273">
        <f>IF(A190&lt;&gt;"",""&amp;DATA_IO!C187,"")</f>
        <v/>
      </c>
      <c r="E190" s="273">
        <f>IF(A190&lt;&gt;"",""&amp;DATA_IO!D187,"")</f>
        <v/>
      </c>
      <c r="F190" s="274">
        <f>IF(A190&lt;&gt;"",DATA_IO!G187,"")</f>
        <v/>
      </c>
      <c r="G190" s="273">
        <f>IF(A190&lt;&gt;"",""&amp;DATA_IO!E187,"")</f>
        <v/>
      </c>
      <c r="H190" s="273">
        <f>IF(A190&lt;&gt;"","DERIVED","")</f>
        <v/>
      </c>
    </row>
    <row r="191">
      <c r="A191" s="273">
        <f>IF(DATA_IO!A188&lt;&gt;"",""&amp;DATA_IO!A188,"")</f>
        <v/>
      </c>
      <c r="B191" s="273">
        <f>IF(A191&lt;&gt;"","IO","")</f>
        <v/>
      </c>
      <c r="C191" s="273">
        <f>IF(A191&lt;&gt;"",""&amp;DATA_IO!B188,"")</f>
        <v/>
      </c>
      <c r="D191" s="273">
        <f>IF(A191&lt;&gt;"",""&amp;DATA_IO!C188,"")</f>
        <v/>
      </c>
      <c r="E191" s="273">
        <f>IF(A191&lt;&gt;"",""&amp;DATA_IO!D188,"")</f>
        <v/>
      </c>
      <c r="F191" s="274">
        <f>IF(A191&lt;&gt;"",DATA_IO!G188,"")</f>
        <v/>
      </c>
      <c r="G191" s="273">
        <f>IF(A191&lt;&gt;"",""&amp;DATA_IO!E188,"")</f>
        <v/>
      </c>
      <c r="H191" s="273">
        <f>IF(A191&lt;&gt;"","DERIVED","")</f>
        <v/>
      </c>
    </row>
    <row r="192">
      <c r="A192" s="273">
        <f>IF(DATA_IO!A189&lt;&gt;"",""&amp;DATA_IO!A189,"")</f>
        <v/>
      </c>
      <c r="B192" s="273">
        <f>IF(A192&lt;&gt;"","IO","")</f>
        <v/>
      </c>
      <c r="C192" s="273">
        <f>IF(A192&lt;&gt;"",""&amp;DATA_IO!B189,"")</f>
        <v/>
      </c>
      <c r="D192" s="273">
        <f>IF(A192&lt;&gt;"",""&amp;DATA_IO!C189,"")</f>
        <v/>
      </c>
      <c r="E192" s="273">
        <f>IF(A192&lt;&gt;"",""&amp;DATA_IO!D189,"")</f>
        <v/>
      </c>
      <c r="F192" s="274">
        <f>IF(A192&lt;&gt;"",DATA_IO!G189,"")</f>
        <v/>
      </c>
      <c r="G192" s="273">
        <f>IF(A192&lt;&gt;"",""&amp;DATA_IO!E189,"")</f>
        <v/>
      </c>
      <c r="H192" s="273">
        <f>IF(A192&lt;&gt;"","DERIVED","")</f>
        <v/>
      </c>
    </row>
    <row r="193">
      <c r="A193" s="273">
        <f>IF(DATA_IO!A190&lt;&gt;"",""&amp;DATA_IO!A190,"")</f>
        <v/>
      </c>
      <c r="B193" s="273">
        <f>IF(A193&lt;&gt;"","IO","")</f>
        <v/>
      </c>
      <c r="C193" s="273">
        <f>IF(A193&lt;&gt;"",""&amp;DATA_IO!B190,"")</f>
        <v/>
      </c>
      <c r="D193" s="273">
        <f>IF(A193&lt;&gt;"",""&amp;DATA_IO!C190,"")</f>
        <v/>
      </c>
      <c r="E193" s="273">
        <f>IF(A193&lt;&gt;"",""&amp;DATA_IO!D190,"")</f>
        <v/>
      </c>
      <c r="F193" s="274">
        <f>IF(A193&lt;&gt;"",DATA_IO!G190,"")</f>
        <v/>
      </c>
      <c r="G193" s="273">
        <f>IF(A193&lt;&gt;"",""&amp;DATA_IO!E190,"")</f>
        <v/>
      </c>
      <c r="H193" s="273">
        <f>IF(A193&lt;&gt;"","DERIVED","")</f>
        <v/>
      </c>
    </row>
    <row r="194">
      <c r="A194" s="273">
        <f>IF(DATA_IO!A191&lt;&gt;"",""&amp;DATA_IO!A191,"")</f>
        <v/>
      </c>
      <c r="B194" s="273">
        <f>IF(A194&lt;&gt;"","IO","")</f>
        <v/>
      </c>
      <c r="C194" s="273">
        <f>IF(A194&lt;&gt;"",""&amp;DATA_IO!B191,"")</f>
        <v/>
      </c>
      <c r="D194" s="273">
        <f>IF(A194&lt;&gt;"",""&amp;DATA_IO!C191,"")</f>
        <v/>
      </c>
      <c r="E194" s="273">
        <f>IF(A194&lt;&gt;"",""&amp;DATA_IO!D191,"")</f>
        <v/>
      </c>
      <c r="F194" s="274">
        <f>IF(A194&lt;&gt;"",DATA_IO!G191,"")</f>
        <v/>
      </c>
      <c r="G194" s="273">
        <f>IF(A194&lt;&gt;"",""&amp;DATA_IO!E191,"")</f>
        <v/>
      </c>
      <c r="H194" s="273">
        <f>IF(A194&lt;&gt;"","DERIVED","")</f>
        <v/>
      </c>
    </row>
    <row r="195">
      <c r="A195" s="273">
        <f>IF(DATA_IO!A192&lt;&gt;"",""&amp;DATA_IO!A192,"")</f>
        <v/>
      </c>
      <c r="B195" s="273">
        <f>IF(A195&lt;&gt;"","IO","")</f>
        <v/>
      </c>
      <c r="C195" s="273">
        <f>IF(A195&lt;&gt;"",""&amp;DATA_IO!B192,"")</f>
        <v/>
      </c>
      <c r="D195" s="273">
        <f>IF(A195&lt;&gt;"",""&amp;DATA_IO!C192,"")</f>
        <v/>
      </c>
      <c r="E195" s="273">
        <f>IF(A195&lt;&gt;"",""&amp;DATA_IO!D192,"")</f>
        <v/>
      </c>
      <c r="F195" s="274">
        <f>IF(A195&lt;&gt;"",DATA_IO!G192,"")</f>
        <v/>
      </c>
      <c r="G195" s="273">
        <f>IF(A195&lt;&gt;"",""&amp;DATA_IO!E192,"")</f>
        <v/>
      </c>
      <c r="H195" s="273">
        <f>IF(A195&lt;&gt;"","DERIVED","")</f>
        <v/>
      </c>
    </row>
    <row r="196">
      <c r="A196" s="273">
        <f>IF(DATA_IO!A193&lt;&gt;"",""&amp;DATA_IO!A193,"")</f>
        <v/>
      </c>
      <c r="B196" s="273">
        <f>IF(A196&lt;&gt;"","IO","")</f>
        <v/>
      </c>
      <c r="C196" s="273">
        <f>IF(A196&lt;&gt;"",""&amp;DATA_IO!B193,"")</f>
        <v/>
      </c>
      <c r="D196" s="273">
        <f>IF(A196&lt;&gt;"",""&amp;DATA_IO!C193,"")</f>
        <v/>
      </c>
      <c r="E196" s="273">
        <f>IF(A196&lt;&gt;"",""&amp;DATA_IO!D193,"")</f>
        <v/>
      </c>
      <c r="F196" s="274">
        <f>IF(A196&lt;&gt;"",DATA_IO!G193,"")</f>
        <v/>
      </c>
      <c r="G196" s="273">
        <f>IF(A196&lt;&gt;"",""&amp;DATA_IO!E193,"")</f>
        <v/>
      </c>
      <c r="H196" s="273">
        <f>IF(A196&lt;&gt;"","DERIVED","")</f>
        <v/>
      </c>
    </row>
    <row r="197">
      <c r="A197" s="273">
        <f>IF(DATA_IO!A194&lt;&gt;"",""&amp;DATA_IO!A194,"")</f>
        <v/>
      </c>
      <c r="B197" s="273">
        <f>IF(A197&lt;&gt;"","IO","")</f>
        <v/>
      </c>
      <c r="C197" s="273">
        <f>IF(A197&lt;&gt;"",""&amp;DATA_IO!B194,"")</f>
        <v/>
      </c>
      <c r="D197" s="273">
        <f>IF(A197&lt;&gt;"",""&amp;DATA_IO!C194,"")</f>
        <v/>
      </c>
      <c r="E197" s="273">
        <f>IF(A197&lt;&gt;"",""&amp;DATA_IO!D194,"")</f>
        <v/>
      </c>
      <c r="F197" s="274">
        <f>IF(A197&lt;&gt;"",DATA_IO!G194,"")</f>
        <v/>
      </c>
      <c r="G197" s="273">
        <f>IF(A197&lt;&gt;"",""&amp;DATA_IO!E194,"")</f>
        <v/>
      </c>
      <c r="H197" s="273">
        <f>IF(A197&lt;&gt;"","DERIVED","")</f>
        <v/>
      </c>
    </row>
    <row r="198">
      <c r="A198" s="273">
        <f>IF(DATA_IO!A195&lt;&gt;"",""&amp;DATA_IO!A195,"")</f>
        <v/>
      </c>
      <c r="B198" s="273">
        <f>IF(A198&lt;&gt;"","IO","")</f>
        <v/>
      </c>
      <c r="C198" s="273">
        <f>IF(A198&lt;&gt;"",""&amp;DATA_IO!B195,"")</f>
        <v/>
      </c>
      <c r="D198" s="273">
        <f>IF(A198&lt;&gt;"",""&amp;DATA_IO!C195,"")</f>
        <v/>
      </c>
      <c r="E198" s="273">
        <f>IF(A198&lt;&gt;"",""&amp;DATA_IO!D195,"")</f>
        <v/>
      </c>
      <c r="F198" s="274">
        <f>IF(A198&lt;&gt;"",DATA_IO!G195,"")</f>
        <v/>
      </c>
      <c r="G198" s="273">
        <f>IF(A198&lt;&gt;"",""&amp;DATA_IO!E195,"")</f>
        <v/>
      </c>
      <c r="H198" s="273">
        <f>IF(A198&lt;&gt;"","DERIVED","")</f>
        <v/>
      </c>
    </row>
    <row r="199">
      <c r="A199" s="273">
        <f>IF(DATA_IO!A196&lt;&gt;"",""&amp;DATA_IO!A196,"")</f>
        <v/>
      </c>
      <c r="B199" s="273">
        <f>IF(A199&lt;&gt;"","IO","")</f>
        <v/>
      </c>
      <c r="C199" s="273">
        <f>IF(A199&lt;&gt;"",""&amp;DATA_IO!B196,"")</f>
        <v/>
      </c>
      <c r="D199" s="273">
        <f>IF(A199&lt;&gt;"",""&amp;DATA_IO!C196,"")</f>
        <v/>
      </c>
      <c r="E199" s="273">
        <f>IF(A199&lt;&gt;"",""&amp;DATA_IO!D196,"")</f>
        <v/>
      </c>
      <c r="F199" s="274">
        <f>IF(A199&lt;&gt;"",DATA_IO!G196,"")</f>
        <v/>
      </c>
      <c r="G199" s="273">
        <f>IF(A199&lt;&gt;"",""&amp;DATA_IO!E196,"")</f>
        <v/>
      </c>
      <c r="H199" s="273">
        <f>IF(A199&lt;&gt;"","DERIVED","")</f>
        <v/>
      </c>
    </row>
    <row r="200">
      <c r="A200" s="273">
        <f>IF(DATA_IO!A197&lt;&gt;"",""&amp;DATA_IO!A197,"")</f>
        <v/>
      </c>
      <c r="B200" s="273">
        <f>IF(A200&lt;&gt;"","IO","")</f>
        <v/>
      </c>
      <c r="C200" s="273">
        <f>IF(A200&lt;&gt;"",""&amp;DATA_IO!B197,"")</f>
        <v/>
      </c>
      <c r="D200" s="273">
        <f>IF(A200&lt;&gt;"",""&amp;DATA_IO!C197,"")</f>
        <v/>
      </c>
      <c r="E200" s="273">
        <f>IF(A200&lt;&gt;"",""&amp;DATA_IO!D197,"")</f>
        <v/>
      </c>
      <c r="F200" s="274">
        <f>IF(A200&lt;&gt;"",DATA_IO!G197,"")</f>
        <v/>
      </c>
      <c r="G200" s="273">
        <f>IF(A200&lt;&gt;"",""&amp;DATA_IO!E197,"")</f>
        <v/>
      </c>
      <c r="H200" s="273">
        <f>IF(A200&lt;&gt;"","DERIVED","")</f>
        <v/>
      </c>
    </row>
    <row r="201">
      <c r="A201" s="273">
        <f>IF(DATA_IO!A198&lt;&gt;"",""&amp;DATA_IO!A198,"")</f>
        <v/>
      </c>
      <c r="B201" s="273">
        <f>IF(A201&lt;&gt;"","IO","")</f>
        <v/>
      </c>
      <c r="C201" s="273">
        <f>IF(A201&lt;&gt;"",""&amp;DATA_IO!B198,"")</f>
        <v/>
      </c>
      <c r="D201" s="273">
        <f>IF(A201&lt;&gt;"",""&amp;DATA_IO!C198,"")</f>
        <v/>
      </c>
      <c r="E201" s="273">
        <f>IF(A201&lt;&gt;"",""&amp;DATA_IO!D198,"")</f>
        <v/>
      </c>
      <c r="F201" s="274">
        <f>IF(A201&lt;&gt;"",DATA_IO!G198,"")</f>
        <v/>
      </c>
      <c r="G201" s="273">
        <f>IF(A201&lt;&gt;"",""&amp;DATA_IO!E198,"")</f>
        <v/>
      </c>
      <c r="H201" s="273">
        <f>IF(A201&lt;&gt;"","DERIVED","")</f>
        <v/>
      </c>
    </row>
    <row r="202">
      <c r="A202" s="273">
        <f>IF(DATA_IO!A199&lt;&gt;"",""&amp;DATA_IO!A199,"")</f>
        <v/>
      </c>
      <c r="B202" s="273">
        <f>IF(A202&lt;&gt;"","IO","")</f>
        <v/>
      </c>
      <c r="C202" s="273">
        <f>IF(A202&lt;&gt;"",""&amp;DATA_IO!B199,"")</f>
        <v/>
      </c>
      <c r="D202" s="273">
        <f>IF(A202&lt;&gt;"",""&amp;DATA_IO!C199,"")</f>
        <v/>
      </c>
      <c r="E202" s="273">
        <f>IF(A202&lt;&gt;"",""&amp;DATA_IO!D199,"")</f>
        <v/>
      </c>
      <c r="F202" s="274">
        <f>IF(A202&lt;&gt;"",DATA_IO!G199,"")</f>
        <v/>
      </c>
      <c r="G202" s="273">
        <f>IF(A202&lt;&gt;"",""&amp;DATA_IO!E199,"")</f>
        <v/>
      </c>
      <c r="H202" s="273">
        <f>IF(A202&lt;&gt;"","DERIVED","")</f>
        <v/>
      </c>
    </row>
    <row r="203">
      <c r="A203" s="273">
        <f>IF(DATA_IO!A200&lt;&gt;"",""&amp;DATA_IO!A200,"")</f>
        <v/>
      </c>
      <c r="B203" s="273">
        <f>IF(A203&lt;&gt;"","IO","")</f>
        <v/>
      </c>
      <c r="C203" s="273">
        <f>IF(A203&lt;&gt;"",""&amp;DATA_IO!B200,"")</f>
        <v/>
      </c>
      <c r="D203" s="273">
        <f>IF(A203&lt;&gt;"",""&amp;DATA_IO!C200,"")</f>
        <v/>
      </c>
      <c r="E203" s="273">
        <f>IF(A203&lt;&gt;"",""&amp;DATA_IO!D200,"")</f>
        <v/>
      </c>
      <c r="F203" s="274">
        <f>IF(A203&lt;&gt;"",DATA_IO!G200,"")</f>
        <v/>
      </c>
      <c r="G203" s="273">
        <f>IF(A203&lt;&gt;"",""&amp;DATA_IO!E200,"")</f>
        <v/>
      </c>
      <c r="H203" s="273">
        <f>IF(A203&lt;&gt;"","DERIVED","")</f>
        <v/>
      </c>
    </row>
    <row r="204">
      <c r="A204" s="273">
        <f>IF(DATA_IO!A201&lt;&gt;"",""&amp;DATA_IO!A201,"")</f>
        <v/>
      </c>
      <c r="B204" s="273">
        <f>IF(A204&lt;&gt;"","IO","")</f>
        <v/>
      </c>
      <c r="C204" s="273">
        <f>IF(A204&lt;&gt;"",""&amp;DATA_IO!B201,"")</f>
        <v/>
      </c>
      <c r="D204" s="273">
        <f>IF(A204&lt;&gt;"",""&amp;DATA_IO!C201,"")</f>
        <v/>
      </c>
      <c r="E204" s="273">
        <f>IF(A204&lt;&gt;"",""&amp;DATA_IO!D201,"")</f>
        <v/>
      </c>
      <c r="F204" s="274">
        <f>IF(A204&lt;&gt;"",DATA_IO!G201,"")</f>
        <v/>
      </c>
      <c r="G204" s="273">
        <f>IF(A204&lt;&gt;"",""&amp;DATA_IO!E201,"")</f>
        <v/>
      </c>
      <c r="H204" s="273">
        <f>IF(A204&lt;&gt;"","DERIVED","")</f>
        <v/>
      </c>
    </row>
    <row r="205">
      <c r="A205" s="273">
        <f>IF(DATA_IO!A202&lt;&gt;"",""&amp;DATA_IO!A202,"")</f>
        <v/>
      </c>
      <c r="B205" s="273">
        <f>IF(A205&lt;&gt;"","IO","")</f>
        <v/>
      </c>
      <c r="C205" s="273">
        <f>IF(A205&lt;&gt;"",""&amp;DATA_IO!B202,"")</f>
        <v/>
      </c>
      <c r="D205" s="273">
        <f>IF(A205&lt;&gt;"",""&amp;DATA_IO!C202,"")</f>
        <v/>
      </c>
      <c r="E205" s="273">
        <f>IF(A205&lt;&gt;"",""&amp;DATA_IO!D202,"")</f>
        <v/>
      </c>
      <c r="F205" s="274">
        <f>IF(A205&lt;&gt;"",DATA_IO!G202,"")</f>
        <v/>
      </c>
      <c r="G205" s="273">
        <f>IF(A205&lt;&gt;"",""&amp;DATA_IO!E202,"")</f>
        <v/>
      </c>
      <c r="H205" s="273">
        <f>IF(A205&lt;&gt;"","DERIVED","")</f>
        <v/>
      </c>
    </row>
    <row r="206">
      <c r="A206" s="273">
        <f>IF(DATA_IO!A203&lt;&gt;"",""&amp;DATA_IO!A203,"")</f>
        <v/>
      </c>
      <c r="B206" s="273">
        <f>IF(A206&lt;&gt;"","IO","")</f>
        <v/>
      </c>
      <c r="C206" s="273">
        <f>IF(A206&lt;&gt;"",""&amp;DATA_IO!B203,"")</f>
        <v/>
      </c>
      <c r="D206" s="273">
        <f>IF(A206&lt;&gt;"",""&amp;DATA_IO!C203,"")</f>
        <v/>
      </c>
      <c r="E206" s="273">
        <f>IF(A206&lt;&gt;"",""&amp;DATA_IO!D203,"")</f>
        <v/>
      </c>
      <c r="F206" s="274">
        <f>IF(A206&lt;&gt;"",DATA_IO!G203,"")</f>
        <v/>
      </c>
      <c r="G206" s="273">
        <f>IF(A206&lt;&gt;"",""&amp;DATA_IO!E203,"")</f>
        <v/>
      </c>
      <c r="H206" s="273">
        <f>IF(A206&lt;&gt;"","DERIVED","")</f>
        <v/>
      </c>
    </row>
    <row r="207">
      <c r="A207" s="273">
        <f>IF(DATA_IO!A204&lt;&gt;"",""&amp;DATA_IO!A204,"")</f>
        <v/>
      </c>
      <c r="B207" s="273">
        <f>IF(A207&lt;&gt;"","IO","")</f>
        <v/>
      </c>
      <c r="C207" s="273">
        <f>IF(A207&lt;&gt;"",""&amp;DATA_IO!B204,"")</f>
        <v/>
      </c>
      <c r="D207" s="273">
        <f>IF(A207&lt;&gt;"",""&amp;DATA_IO!C204,"")</f>
        <v/>
      </c>
      <c r="E207" s="273">
        <f>IF(A207&lt;&gt;"",""&amp;DATA_IO!D204,"")</f>
        <v/>
      </c>
      <c r="F207" s="274">
        <f>IF(A207&lt;&gt;"",DATA_IO!G204,"")</f>
        <v/>
      </c>
      <c r="G207" s="273">
        <f>IF(A207&lt;&gt;"",""&amp;DATA_IO!E204,"")</f>
        <v/>
      </c>
      <c r="H207" s="273">
        <f>IF(A207&lt;&gt;"","DERIVED","")</f>
        <v/>
      </c>
    </row>
    <row r="208">
      <c r="A208" s="273">
        <f>IF(DATA_IO!A205&lt;&gt;"",""&amp;DATA_IO!A205,"")</f>
        <v/>
      </c>
      <c r="B208" s="273">
        <f>IF(A208&lt;&gt;"","IO","")</f>
        <v/>
      </c>
      <c r="C208" s="273">
        <f>IF(A208&lt;&gt;"",""&amp;DATA_IO!B205,"")</f>
        <v/>
      </c>
      <c r="D208" s="273">
        <f>IF(A208&lt;&gt;"",""&amp;DATA_IO!C205,"")</f>
        <v/>
      </c>
      <c r="E208" s="273">
        <f>IF(A208&lt;&gt;"",""&amp;DATA_IO!D205,"")</f>
        <v/>
      </c>
      <c r="F208" s="274">
        <f>IF(A208&lt;&gt;"",DATA_IO!G205,"")</f>
        <v/>
      </c>
      <c r="G208" s="273">
        <f>IF(A208&lt;&gt;"",""&amp;DATA_IO!E205,"")</f>
        <v/>
      </c>
      <c r="H208" s="273">
        <f>IF(A208&lt;&gt;"","DERIVED","")</f>
        <v/>
      </c>
    </row>
    <row r="209">
      <c r="A209" s="273">
        <f>IF(DATA_IO!A206&lt;&gt;"",""&amp;DATA_IO!A206,"")</f>
        <v/>
      </c>
      <c r="B209" s="273">
        <f>IF(A209&lt;&gt;"","IO","")</f>
        <v/>
      </c>
      <c r="C209" s="273">
        <f>IF(A209&lt;&gt;"",""&amp;DATA_IO!B206,"")</f>
        <v/>
      </c>
      <c r="D209" s="273">
        <f>IF(A209&lt;&gt;"",""&amp;DATA_IO!C206,"")</f>
        <v/>
      </c>
      <c r="E209" s="273">
        <f>IF(A209&lt;&gt;"",""&amp;DATA_IO!D206,"")</f>
        <v/>
      </c>
      <c r="F209" s="274">
        <f>IF(A209&lt;&gt;"",DATA_IO!G206,"")</f>
        <v/>
      </c>
      <c r="G209" s="273">
        <f>IF(A209&lt;&gt;"",""&amp;DATA_IO!E206,"")</f>
        <v/>
      </c>
      <c r="H209" s="273">
        <f>IF(A209&lt;&gt;"","DERIVED","")</f>
        <v/>
      </c>
    </row>
    <row r="210">
      <c r="A210" s="273">
        <f>IF(DATA_IO!A207&lt;&gt;"",""&amp;DATA_IO!A207,"")</f>
        <v/>
      </c>
      <c r="B210" s="273">
        <f>IF(A210&lt;&gt;"","IO","")</f>
        <v/>
      </c>
      <c r="C210" s="273">
        <f>IF(A210&lt;&gt;"",""&amp;DATA_IO!B207,"")</f>
        <v/>
      </c>
      <c r="D210" s="273">
        <f>IF(A210&lt;&gt;"",""&amp;DATA_IO!C207,"")</f>
        <v/>
      </c>
      <c r="E210" s="273">
        <f>IF(A210&lt;&gt;"",""&amp;DATA_IO!D207,"")</f>
        <v/>
      </c>
      <c r="F210" s="274">
        <f>IF(A210&lt;&gt;"",DATA_IO!G207,"")</f>
        <v/>
      </c>
      <c r="G210" s="273">
        <f>IF(A210&lt;&gt;"",""&amp;DATA_IO!E207,"")</f>
        <v/>
      </c>
      <c r="H210" s="273">
        <f>IF(A210&lt;&gt;"","DERIVED","")</f>
        <v/>
      </c>
    </row>
    <row r="211">
      <c r="A211" s="273">
        <f>IF(DATA_IO!A208&lt;&gt;"",""&amp;DATA_IO!A208,"")</f>
        <v/>
      </c>
      <c r="B211" s="273">
        <f>IF(A211&lt;&gt;"","IO","")</f>
        <v/>
      </c>
      <c r="C211" s="273">
        <f>IF(A211&lt;&gt;"",""&amp;DATA_IO!B208,"")</f>
        <v/>
      </c>
      <c r="D211" s="273">
        <f>IF(A211&lt;&gt;"",""&amp;DATA_IO!C208,"")</f>
        <v/>
      </c>
      <c r="E211" s="273">
        <f>IF(A211&lt;&gt;"",""&amp;DATA_IO!D208,"")</f>
        <v/>
      </c>
      <c r="F211" s="274">
        <f>IF(A211&lt;&gt;"",DATA_IO!G208,"")</f>
        <v/>
      </c>
      <c r="G211" s="273">
        <f>IF(A211&lt;&gt;"",""&amp;DATA_IO!E208,"")</f>
        <v/>
      </c>
      <c r="H211" s="273">
        <f>IF(A211&lt;&gt;"","DERIVED","")</f>
        <v/>
      </c>
    </row>
    <row r="212">
      <c r="A212" s="273">
        <f>IF(DATA_IO!A209&lt;&gt;"",""&amp;DATA_IO!A209,"")</f>
        <v/>
      </c>
      <c r="B212" s="273">
        <f>IF(A212&lt;&gt;"","IO","")</f>
        <v/>
      </c>
      <c r="C212" s="273">
        <f>IF(A212&lt;&gt;"",""&amp;DATA_IO!B209,"")</f>
        <v/>
      </c>
      <c r="D212" s="273">
        <f>IF(A212&lt;&gt;"",""&amp;DATA_IO!C209,"")</f>
        <v/>
      </c>
      <c r="E212" s="273">
        <f>IF(A212&lt;&gt;"",""&amp;DATA_IO!D209,"")</f>
        <v/>
      </c>
      <c r="F212" s="274">
        <f>IF(A212&lt;&gt;"",DATA_IO!G209,"")</f>
        <v/>
      </c>
      <c r="G212" s="273">
        <f>IF(A212&lt;&gt;"",""&amp;DATA_IO!E209,"")</f>
        <v/>
      </c>
      <c r="H212" s="273">
        <f>IF(A212&lt;&gt;"","DERIVED","")</f>
        <v/>
      </c>
    </row>
    <row r="213">
      <c r="A213" s="273">
        <f>IF(DATA_IO!A210&lt;&gt;"",""&amp;DATA_IO!A210,"")</f>
        <v/>
      </c>
      <c r="B213" s="273">
        <f>IF(A213&lt;&gt;"","IO","")</f>
        <v/>
      </c>
      <c r="C213" s="273">
        <f>IF(A213&lt;&gt;"",""&amp;DATA_IO!B210,"")</f>
        <v/>
      </c>
      <c r="D213" s="273">
        <f>IF(A213&lt;&gt;"",""&amp;DATA_IO!C210,"")</f>
        <v/>
      </c>
      <c r="E213" s="273">
        <f>IF(A213&lt;&gt;"",""&amp;DATA_IO!D210,"")</f>
        <v/>
      </c>
      <c r="F213" s="274">
        <f>IF(A213&lt;&gt;"",DATA_IO!G210,"")</f>
        <v/>
      </c>
      <c r="G213" s="273">
        <f>IF(A213&lt;&gt;"",""&amp;DATA_IO!E210,"")</f>
        <v/>
      </c>
      <c r="H213" s="273">
        <f>IF(A213&lt;&gt;"","DERIVED","")</f>
        <v/>
      </c>
    </row>
    <row r="214">
      <c r="A214" s="273">
        <f>IF(DATA_IO!A211&lt;&gt;"",""&amp;DATA_IO!A211,"")</f>
        <v/>
      </c>
      <c r="B214" s="273">
        <f>IF(A214&lt;&gt;"","IO","")</f>
        <v/>
      </c>
      <c r="C214" s="273">
        <f>IF(A214&lt;&gt;"",""&amp;DATA_IO!B211,"")</f>
        <v/>
      </c>
      <c r="D214" s="273">
        <f>IF(A214&lt;&gt;"",""&amp;DATA_IO!C211,"")</f>
        <v/>
      </c>
      <c r="E214" s="273">
        <f>IF(A214&lt;&gt;"",""&amp;DATA_IO!D211,"")</f>
        <v/>
      </c>
      <c r="F214" s="274">
        <f>IF(A214&lt;&gt;"",DATA_IO!G211,"")</f>
        <v/>
      </c>
      <c r="G214" s="273">
        <f>IF(A214&lt;&gt;"",""&amp;DATA_IO!E211,"")</f>
        <v/>
      </c>
      <c r="H214" s="273">
        <f>IF(A214&lt;&gt;"","DERIVED","")</f>
        <v/>
      </c>
    </row>
    <row r="215">
      <c r="A215" s="273">
        <f>IF(DATA_IO!A212&lt;&gt;"",""&amp;DATA_IO!A212,"")</f>
        <v/>
      </c>
      <c r="B215" s="273">
        <f>IF(A215&lt;&gt;"","IO","")</f>
        <v/>
      </c>
      <c r="C215" s="273">
        <f>IF(A215&lt;&gt;"",""&amp;DATA_IO!B212,"")</f>
        <v/>
      </c>
      <c r="D215" s="273">
        <f>IF(A215&lt;&gt;"",""&amp;DATA_IO!C212,"")</f>
        <v/>
      </c>
      <c r="E215" s="273">
        <f>IF(A215&lt;&gt;"",""&amp;DATA_IO!D212,"")</f>
        <v/>
      </c>
      <c r="F215" s="274">
        <f>IF(A215&lt;&gt;"",DATA_IO!G212,"")</f>
        <v/>
      </c>
      <c r="G215" s="273">
        <f>IF(A215&lt;&gt;"",""&amp;DATA_IO!E212,"")</f>
        <v/>
      </c>
      <c r="H215" s="273">
        <f>IF(A215&lt;&gt;"","DERIVED","")</f>
        <v/>
      </c>
    </row>
    <row r="216">
      <c r="A216" s="273">
        <f>IF(DATA_IO!A213&lt;&gt;"",""&amp;DATA_IO!A213,"")</f>
        <v/>
      </c>
      <c r="B216" s="273">
        <f>IF(A216&lt;&gt;"","IO","")</f>
        <v/>
      </c>
      <c r="C216" s="273">
        <f>IF(A216&lt;&gt;"",""&amp;DATA_IO!B213,"")</f>
        <v/>
      </c>
      <c r="D216" s="273">
        <f>IF(A216&lt;&gt;"",""&amp;DATA_IO!C213,"")</f>
        <v/>
      </c>
      <c r="E216" s="273">
        <f>IF(A216&lt;&gt;"",""&amp;DATA_IO!D213,"")</f>
        <v/>
      </c>
      <c r="F216" s="274">
        <f>IF(A216&lt;&gt;"",DATA_IO!G213,"")</f>
        <v/>
      </c>
      <c r="G216" s="273">
        <f>IF(A216&lt;&gt;"",""&amp;DATA_IO!E213,"")</f>
        <v/>
      </c>
      <c r="H216" s="273">
        <f>IF(A216&lt;&gt;"","DERIVED","")</f>
        <v/>
      </c>
    </row>
    <row r="217">
      <c r="A217" s="273">
        <f>IF(DATA_IO!A214&lt;&gt;"",""&amp;DATA_IO!A214,"")</f>
        <v/>
      </c>
      <c r="B217" s="273">
        <f>IF(A217&lt;&gt;"","IO","")</f>
        <v/>
      </c>
      <c r="C217" s="273">
        <f>IF(A217&lt;&gt;"",""&amp;DATA_IO!B214,"")</f>
        <v/>
      </c>
      <c r="D217" s="273">
        <f>IF(A217&lt;&gt;"",""&amp;DATA_IO!C214,"")</f>
        <v/>
      </c>
      <c r="E217" s="273">
        <f>IF(A217&lt;&gt;"",""&amp;DATA_IO!D214,"")</f>
        <v/>
      </c>
      <c r="F217" s="274">
        <f>IF(A217&lt;&gt;"",DATA_IO!G214,"")</f>
        <v/>
      </c>
      <c r="G217" s="273">
        <f>IF(A217&lt;&gt;"",""&amp;DATA_IO!E214,"")</f>
        <v/>
      </c>
      <c r="H217" s="273">
        <f>IF(A217&lt;&gt;"","DERIVED","")</f>
        <v/>
      </c>
    </row>
    <row r="218">
      <c r="A218" s="273">
        <f>IF(DATA_IO!A215&lt;&gt;"",""&amp;DATA_IO!A215,"")</f>
        <v/>
      </c>
      <c r="B218" s="273">
        <f>IF(A218&lt;&gt;"","IO","")</f>
        <v/>
      </c>
      <c r="C218" s="273">
        <f>IF(A218&lt;&gt;"",""&amp;DATA_IO!B215,"")</f>
        <v/>
      </c>
      <c r="D218" s="273">
        <f>IF(A218&lt;&gt;"",""&amp;DATA_IO!C215,"")</f>
        <v/>
      </c>
      <c r="E218" s="273">
        <f>IF(A218&lt;&gt;"",""&amp;DATA_IO!D215,"")</f>
        <v/>
      </c>
      <c r="F218" s="274">
        <f>IF(A218&lt;&gt;"",DATA_IO!G215,"")</f>
        <v/>
      </c>
      <c r="G218" s="273">
        <f>IF(A218&lt;&gt;"",""&amp;DATA_IO!E215,"")</f>
        <v/>
      </c>
      <c r="H218" s="273">
        <f>IF(A218&lt;&gt;"","DERIVED","")</f>
        <v/>
      </c>
    </row>
    <row r="219">
      <c r="A219" s="273">
        <f>IF(DATA_IO!A216&lt;&gt;"",""&amp;DATA_IO!A216,"")</f>
        <v/>
      </c>
      <c r="B219" s="273">
        <f>IF(A219&lt;&gt;"","IO","")</f>
        <v/>
      </c>
      <c r="C219" s="273">
        <f>IF(A219&lt;&gt;"",""&amp;DATA_IO!B216,"")</f>
        <v/>
      </c>
      <c r="D219" s="273">
        <f>IF(A219&lt;&gt;"",""&amp;DATA_IO!C216,"")</f>
        <v/>
      </c>
      <c r="E219" s="273">
        <f>IF(A219&lt;&gt;"",""&amp;DATA_IO!D216,"")</f>
        <v/>
      </c>
      <c r="F219" s="274">
        <f>IF(A219&lt;&gt;"",DATA_IO!G216,"")</f>
        <v/>
      </c>
      <c r="G219" s="273">
        <f>IF(A219&lt;&gt;"",""&amp;DATA_IO!E216,"")</f>
        <v/>
      </c>
      <c r="H219" s="273">
        <f>IF(A219&lt;&gt;"","DERIVED","")</f>
        <v/>
      </c>
    </row>
    <row r="220">
      <c r="A220" s="273">
        <f>IF(DATA_IO!A217&lt;&gt;"",""&amp;DATA_IO!A217,"")</f>
        <v/>
      </c>
      <c r="B220" s="273">
        <f>IF(A220&lt;&gt;"","IO","")</f>
        <v/>
      </c>
      <c r="C220" s="273">
        <f>IF(A220&lt;&gt;"",""&amp;DATA_IO!B217,"")</f>
        <v/>
      </c>
      <c r="D220" s="273">
        <f>IF(A220&lt;&gt;"",""&amp;DATA_IO!C217,"")</f>
        <v/>
      </c>
      <c r="E220" s="273">
        <f>IF(A220&lt;&gt;"",""&amp;DATA_IO!D217,"")</f>
        <v/>
      </c>
      <c r="F220" s="274">
        <f>IF(A220&lt;&gt;"",DATA_IO!G217,"")</f>
        <v/>
      </c>
      <c r="G220" s="273">
        <f>IF(A220&lt;&gt;"",""&amp;DATA_IO!E217,"")</f>
        <v/>
      </c>
      <c r="H220" s="273">
        <f>IF(A220&lt;&gt;"","DERIVED","")</f>
        <v/>
      </c>
    </row>
    <row r="221">
      <c r="A221" s="273">
        <f>IF(DATA_IO!A218&lt;&gt;"",""&amp;DATA_IO!A218,"")</f>
        <v/>
      </c>
      <c r="B221" s="273">
        <f>IF(A221&lt;&gt;"","IO","")</f>
        <v/>
      </c>
      <c r="C221" s="273">
        <f>IF(A221&lt;&gt;"",""&amp;DATA_IO!B218,"")</f>
        <v/>
      </c>
      <c r="D221" s="273">
        <f>IF(A221&lt;&gt;"",""&amp;DATA_IO!C218,"")</f>
        <v/>
      </c>
      <c r="E221" s="273">
        <f>IF(A221&lt;&gt;"",""&amp;DATA_IO!D218,"")</f>
        <v/>
      </c>
      <c r="F221" s="274">
        <f>IF(A221&lt;&gt;"",DATA_IO!G218,"")</f>
        <v/>
      </c>
      <c r="G221" s="273">
        <f>IF(A221&lt;&gt;"",""&amp;DATA_IO!E218,"")</f>
        <v/>
      </c>
      <c r="H221" s="273">
        <f>IF(A221&lt;&gt;"","DERIVED","")</f>
        <v/>
      </c>
    </row>
    <row r="222">
      <c r="A222" s="273">
        <f>IF(DATA_IO!A219&lt;&gt;"",""&amp;DATA_IO!A219,"")</f>
        <v/>
      </c>
      <c r="B222" s="273">
        <f>IF(A222&lt;&gt;"","IO","")</f>
        <v/>
      </c>
      <c r="C222" s="273">
        <f>IF(A222&lt;&gt;"",""&amp;DATA_IO!B219,"")</f>
        <v/>
      </c>
      <c r="D222" s="273">
        <f>IF(A222&lt;&gt;"",""&amp;DATA_IO!C219,"")</f>
        <v/>
      </c>
      <c r="E222" s="273">
        <f>IF(A222&lt;&gt;"",""&amp;DATA_IO!D219,"")</f>
        <v/>
      </c>
      <c r="F222" s="274">
        <f>IF(A222&lt;&gt;"",DATA_IO!G219,"")</f>
        <v/>
      </c>
      <c r="G222" s="273">
        <f>IF(A222&lt;&gt;"",""&amp;DATA_IO!E219,"")</f>
        <v/>
      </c>
      <c r="H222" s="273">
        <f>IF(A222&lt;&gt;"","DERIVED","")</f>
        <v/>
      </c>
    </row>
    <row r="223">
      <c r="A223" s="273">
        <f>IF(DATA_IO!A220&lt;&gt;"",""&amp;DATA_IO!A220,"")</f>
        <v/>
      </c>
      <c r="B223" s="273">
        <f>IF(A223&lt;&gt;"","IO","")</f>
        <v/>
      </c>
      <c r="C223" s="273">
        <f>IF(A223&lt;&gt;"",""&amp;DATA_IO!B220,"")</f>
        <v/>
      </c>
      <c r="D223" s="273">
        <f>IF(A223&lt;&gt;"",""&amp;DATA_IO!C220,"")</f>
        <v/>
      </c>
      <c r="E223" s="273">
        <f>IF(A223&lt;&gt;"",""&amp;DATA_IO!D220,"")</f>
        <v/>
      </c>
      <c r="F223" s="274">
        <f>IF(A223&lt;&gt;"",DATA_IO!G220,"")</f>
        <v/>
      </c>
      <c r="G223" s="273">
        <f>IF(A223&lt;&gt;"",""&amp;DATA_IO!E220,"")</f>
        <v/>
      </c>
      <c r="H223" s="273">
        <f>IF(A223&lt;&gt;"","DERIVED","")</f>
        <v/>
      </c>
    </row>
    <row r="224">
      <c r="A224" s="273">
        <f>IF(DATA_IO!A221&lt;&gt;"",""&amp;DATA_IO!A221,"")</f>
        <v/>
      </c>
      <c r="B224" s="273">
        <f>IF(A224&lt;&gt;"","IO","")</f>
        <v/>
      </c>
      <c r="C224" s="273">
        <f>IF(A224&lt;&gt;"",""&amp;DATA_IO!B221,"")</f>
        <v/>
      </c>
      <c r="D224" s="273">
        <f>IF(A224&lt;&gt;"",""&amp;DATA_IO!C221,"")</f>
        <v/>
      </c>
      <c r="E224" s="273">
        <f>IF(A224&lt;&gt;"",""&amp;DATA_IO!D221,"")</f>
        <v/>
      </c>
      <c r="F224" s="274">
        <f>IF(A224&lt;&gt;"",DATA_IO!G221,"")</f>
        <v/>
      </c>
      <c r="G224" s="273">
        <f>IF(A224&lt;&gt;"",""&amp;DATA_IO!E221,"")</f>
        <v/>
      </c>
      <c r="H224" s="273">
        <f>IF(A224&lt;&gt;"","DERIVED","")</f>
        <v/>
      </c>
    </row>
    <row r="225">
      <c r="A225" s="273">
        <f>IF(DATA_IO!A222&lt;&gt;"",""&amp;DATA_IO!A222,"")</f>
        <v/>
      </c>
      <c r="B225" s="273">
        <f>IF(A225&lt;&gt;"","IO","")</f>
        <v/>
      </c>
      <c r="C225" s="273">
        <f>IF(A225&lt;&gt;"",""&amp;DATA_IO!B222,"")</f>
        <v/>
      </c>
      <c r="D225" s="273">
        <f>IF(A225&lt;&gt;"",""&amp;DATA_IO!C222,"")</f>
        <v/>
      </c>
      <c r="E225" s="273">
        <f>IF(A225&lt;&gt;"",""&amp;DATA_IO!D222,"")</f>
        <v/>
      </c>
      <c r="F225" s="274">
        <f>IF(A225&lt;&gt;"",DATA_IO!G222,"")</f>
        <v/>
      </c>
      <c r="G225" s="273">
        <f>IF(A225&lt;&gt;"",""&amp;DATA_IO!E222,"")</f>
        <v/>
      </c>
      <c r="H225" s="273">
        <f>IF(A225&lt;&gt;"","DERIVED","")</f>
        <v/>
      </c>
    </row>
    <row r="226">
      <c r="A226" s="273">
        <f>IF(DATA_IO!A223&lt;&gt;"",""&amp;DATA_IO!A223,"")</f>
        <v/>
      </c>
      <c r="B226" s="273">
        <f>IF(A226&lt;&gt;"","IO","")</f>
        <v/>
      </c>
      <c r="C226" s="273">
        <f>IF(A226&lt;&gt;"",""&amp;DATA_IO!B223,"")</f>
        <v/>
      </c>
      <c r="D226" s="273">
        <f>IF(A226&lt;&gt;"",""&amp;DATA_IO!C223,"")</f>
        <v/>
      </c>
      <c r="E226" s="273">
        <f>IF(A226&lt;&gt;"",""&amp;DATA_IO!D223,"")</f>
        <v/>
      </c>
      <c r="F226" s="274">
        <f>IF(A226&lt;&gt;"",DATA_IO!G223,"")</f>
        <v/>
      </c>
      <c r="G226" s="273">
        <f>IF(A226&lt;&gt;"",""&amp;DATA_IO!E223,"")</f>
        <v/>
      </c>
      <c r="H226" s="273">
        <f>IF(A226&lt;&gt;"","DERIVED","")</f>
        <v/>
      </c>
    </row>
    <row r="227">
      <c r="A227" s="273">
        <f>IF(DATA_IO!A224&lt;&gt;"",""&amp;DATA_IO!A224,"")</f>
        <v/>
      </c>
      <c r="B227" s="273">
        <f>IF(A227&lt;&gt;"","IO","")</f>
        <v/>
      </c>
      <c r="C227" s="273">
        <f>IF(A227&lt;&gt;"",""&amp;DATA_IO!B224,"")</f>
        <v/>
      </c>
      <c r="D227" s="273">
        <f>IF(A227&lt;&gt;"",""&amp;DATA_IO!C224,"")</f>
        <v/>
      </c>
      <c r="E227" s="273">
        <f>IF(A227&lt;&gt;"",""&amp;DATA_IO!D224,"")</f>
        <v/>
      </c>
      <c r="F227" s="274">
        <f>IF(A227&lt;&gt;"",DATA_IO!G224,"")</f>
        <v/>
      </c>
      <c r="G227" s="273">
        <f>IF(A227&lt;&gt;"",""&amp;DATA_IO!E224,"")</f>
        <v/>
      </c>
      <c r="H227" s="273">
        <f>IF(A227&lt;&gt;"","DERIVED","")</f>
        <v/>
      </c>
    </row>
    <row r="228">
      <c r="A228" s="273">
        <f>IF(DATA_IO!A225&lt;&gt;"",""&amp;DATA_IO!A225,"")</f>
        <v/>
      </c>
      <c r="B228" s="273">
        <f>IF(A228&lt;&gt;"","IO","")</f>
        <v/>
      </c>
      <c r="C228" s="273">
        <f>IF(A228&lt;&gt;"",""&amp;DATA_IO!B225,"")</f>
        <v/>
      </c>
      <c r="D228" s="273">
        <f>IF(A228&lt;&gt;"",""&amp;DATA_IO!C225,"")</f>
        <v/>
      </c>
      <c r="E228" s="273">
        <f>IF(A228&lt;&gt;"",""&amp;DATA_IO!D225,"")</f>
        <v/>
      </c>
      <c r="F228" s="274">
        <f>IF(A228&lt;&gt;"",DATA_IO!G225,"")</f>
        <v/>
      </c>
      <c r="G228" s="273">
        <f>IF(A228&lt;&gt;"",""&amp;DATA_IO!E225,"")</f>
        <v/>
      </c>
      <c r="H228" s="273">
        <f>IF(A228&lt;&gt;"","DERIVED","")</f>
        <v/>
      </c>
    </row>
    <row r="229">
      <c r="A229" s="273">
        <f>IF(DATA_IO!A226&lt;&gt;"",""&amp;DATA_IO!A226,"")</f>
        <v/>
      </c>
      <c r="B229" s="273">
        <f>IF(A229&lt;&gt;"","IO","")</f>
        <v/>
      </c>
      <c r="C229" s="273">
        <f>IF(A229&lt;&gt;"",""&amp;DATA_IO!B226,"")</f>
        <v/>
      </c>
      <c r="D229" s="273">
        <f>IF(A229&lt;&gt;"",""&amp;DATA_IO!C226,"")</f>
        <v/>
      </c>
      <c r="E229" s="273">
        <f>IF(A229&lt;&gt;"",""&amp;DATA_IO!D226,"")</f>
        <v/>
      </c>
      <c r="F229" s="274">
        <f>IF(A229&lt;&gt;"",DATA_IO!G226,"")</f>
        <v/>
      </c>
      <c r="G229" s="273">
        <f>IF(A229&lt;&gt;"",""&amp;DATA_IO!E226,"")</f>
        <v/>
      </c>
      <c r="H229" s="273">
        <f>IF(A229&lt;&gt;"","DERIVED","")</f>
        <v/>
      </c>
    </row>
    <row r="230">
      <c r="A230" s="273">
        <f>IF(DATA_IO!A227&lt;&gt;"",""&amp;DATA_IO!A227,"")</f>
        <v/>
      </c>
      <c r="B230" s="273">
        <f>IF(A230&lt;&gt;"","IO","")</f>
        <v/>
      </c>
      <c r="C230" s="273">
        <f>IF(A230&lt;&gt;"",""&amp;DATA_IO!B227,"")</f>
        <v/>
      </c>
      <c r="D230" s="273">
        <f>IF(A230&lt;&gt;"",""&amp;DATA_IO!C227,"")</f>
        <v/>
      </c>
      <c r="E230" s="273">
        <f>IF(A230&lt;&gt;"",""&amp;DATA_IO!D227,"")</f>
        <v/>
      </c>
      <c r="F230" s="274">
        <f>IF(A230&lt;&gt;"",DATA_IO!G227,"")</f>
        <v/>
      </c>
      <c r="G230" s="273">
        <f>IF(A230&lt;&gt;"",""&amp;DATA_IO!E227,"")</f>
        <v/>
      </c>
      <c r="H230" s="273">
        <f>IF(A230&lt;&gt;"","DERIVED","")</f>
        <v/>
      </c>
    </row>
    <row r="231">
      <c r="A231" s="273">
        <f>IF(DATA_IO!A228&lt;&gt;"",""&amp;DATA_IO!A228,"")</f>
        <v/>
      </c>
      <c r="B231" s="273">
        <f>IF(A231&lt;&gt;"","IO","")</f>
        <v/>
      </c>
      <c r="C231" s="273">
        <f>IF(A231&lt;&gt;"",""&amp;DATA_IO!B228,"")</f>
        <v/>
      </c>
      <c r="D231" s="273">
        <f>IF(A231&lt;&gt;"",""&amp;DATA_IO!C228,"")</f>
        <v/>
      </c>
      <c r="E231" s="273">
        <f>IF(A231&lt;&gt;"",""&amp;DATA_IO!D228,"")</f>
        <v/>
      </c>
      <c r="F231" s="274">
        <f>IF(A231&lt;&gt;"",DATA_IO!G228,"")</f>
        <v/>
      </c>
      <c r="G231" s="273">
        <f>IF(A231&lt;&gt;"",""&amp;DATA_IO!E228,"")</f>
        <v/>
      </c>
      <c r="H231" s="273">
        <f>IF(A231&lt;&gt;"","DERIVED","")</f>
        <v/>
      </c>
    </row>
    <row r="232">
      <c r="A232" s="273">
        <f>IF(DATA_IO!A229&lt;&gt;"",""&amp;DATA_IO!A229,"")</f>
        <v/>
      </c>
      <c r="B232" s="273">
        <f>IF(A232&lt;&gt;"","IO","")</f>
        <v/>
      </c>
      <c r="C232" s="273">
        <f>IF(A232&lt;&gt;"",""&amp;DATA_IO!B229,"")</f>
        <v/>
      </c>
      <c r="D232" s="273">
        <f>IF(A232&lt;&gt;"",""&amp;DATA_IO!C229,"")</f>
        <v/>
      </c>
      <c r="E232" s="273">
        <f>IF(A232&lt;&gt;"",""&amp;DATA_IO!D229,"")</f>
        <v/>
      </c>
      <c r="F232" s="274">
        <f>IF(A232&lt;&gt;"",DATA_IO!G229,"")</f>
        <v/>
      </c>
      <c r="G232" s="273">
        <f>IF(A232&lt;&gt;"",""&amp;DATA_IO!E229,"")</f>
        <v/>
      </c>
      <c r="H232" s="273">
        <f>IF(A232&lt;&gt;"","DERIVED","")</f>
        <v/>
      </c>
    </row>
    <row r="233">
      <c r="A233" s="273">
        <f>IF(DATA_IO!A230&lt;&gt;"",""&amp;DATA_IO!A230,"")</f>
        <v/>
      </c>
      <c r="B233" s="273">
        <f>IF(A233&lt;&gt;"","IO","")</f>
        <v/>
      </c>
      <c r="C233" s="273">
        <f>IF(A233&lt;&gt;"",""&amp;DATA_IO!B230,"")</f>
        <v/>
      </c>
      <c r="D233" s="273">
        <f>IF(A233&lt;&gt;"",""&amp;DATA_IO!C230,"")</f>
        <v/>
      </c>
      <c r="E233" s="273">
        <f>IF(A233&lt;&gt;"",""&amp;DATA_IO!D230,"")</f>
        <v/>
      </c>
      <c r="F233" s="274">
        <f>IF(A233&lt;&gt;"",DATA_IO!G230,"")</f>
        <v/>
      </c>
      <c r="G233" s="273">
        <f>IF(A233&lt;&gt;"",""&amp;DATA_IO!E230,"")</f>
        <v/>
      </c>
      <c r="H233" s="273">
        <f>IF(A233&lt;&gt;"","DERIVED","")</f>
        <v/>
      </c>
    </row>
    <row r="234">
      <c r="A234" s="273">
        <f>IF(DATA_IO!A231&lt;&gt;"",""&amp;DATA_IO!A231,"")</f>
        <v/>
      </c>
      <c r="B234" s="273">
        <f>IF(A234&lt;&gt;"","IO","")</f>
        <v/>
      </c>
      <c r="C234" s="273">
        <f>IF(A234&lt;&gt;"",""&amp;DATA_IO!B231,"")</f>
        <v/>
      </c>
      <c r="D234" s="273">
        <f>IF(A234&lt;&gt;"",""&amp;DATA_IO!C231,"")</f>
        <v/>
      </c>
      <c r="E234" s="273">
        <f>IF(A234&lt;&gt;"",""&amp;DATA_IO!D231,"")</f>
        <v/>
      </c>
      <c r="F234" s="274">
        <f>IF(A234&lt;&gt;"",DATA_IO!G231,"")</f>
        <v/>
      </c>
      <c r="G234" s="273">
        <f>IF(A234&lt;&gt;"",""&amp;DATA_IO!E231,"")</f>
        <v/>
      </c>
      <c r="H234" s="273">
        <f>IF(A234&lt;&gt;"","DERIVED","")</f>
        <v/>
      </c>
    </row>
    <row r="235">
      <c r="A235" s="273">
        <f>IF(DATA_IO!A232&lt;&gt;"",""&amp;DATA_IO!A232,"")</f>
        <v/>
      </c>
      <c r="B235" s="273">
        <f>IF(A235&lt;&gt;"","IO","")</f>
        <v/>
      </c>
      <c r="C235" s="273">
        <f>IF(A235&lt;&gt;"",""&amp;DATA_IO!B232,"")</f>
        <v/>
      </c>
      <c r="D235" s="273">
        <f>IF(A235&lt;&gt;"",""&amp;DATA_IO!C232,"")</f>
        <v/>
      </c>
      <c r="E235" s="273">
        <f>IF(A235&lt;&gt;"",""&amp;DATA_IO!D232,"")</f>
        <v/>
      </c>
      <c r="F235" s="274">
        <f>IF(A235&lt;&gt;"",DATA_IO!G232,"")</f>
        <v/>
      </c>
      <c r="G235" s="273">
        <f>IF(A235&lt;&gt;"",""&amp;DATA_IO!E232,"")</f>
        <v/>
      </c>
      <c r="H235" s="273">
        <f>IF(A235&lt;&gt;"","DERIVED","")</f>
        <v/>
      </c>
    </row>
    <row r="236">
      <c r="A236" s="273">
        <f>IF(DATA_IO!A233&lt;&gt;"",""&amp;DATA_IO!A233,"")</f>
        <v/>
      </c>
      <c r="B236" s="273">
        <f>IF(A236&lt;&gt;"","IO","")</f>
        <v/>
      </c>
      <c r="C236" s="273">
        <f>IF(A236&lt;&gt;"",""&amp;DATA_IO!B233,"")</f>
        <v/>
      </c>
      <c r="D236" s="273">
        <f>IF(A236&lt;&gt;"",""&amp;DATA_IO!C233,"")</f>
        <v/>
      </c>
      <c r="E236" s="273">
        <f>IF(A236&lt;&gt;"",""&amp;DATA_IO!D233,"")</f>
        <v/>
      </c>
      <c r="F236" s="274">
        <f>IF(A236&lt;&gt;"",DATA_IO!G233,"")</f>
        <v/>
      </c>
      <c r="G236" s="273">
        <f>IF(A236&lt;&gt;"",""&amp;DATA_IO!E233,"")</f>
        <v/>
      </c>
      <c r="H236" s="273">
        <f>IF(A236&lt;&gt;"","DERIVED","")</f>
        <v/>
      </c>
    </row>
    <row r="237">
      <c r="A237" s="273">
        <f>IF(DATA_IO!A234&lt;&gt;"",""&amp;DATA_IO!A234,"")</f>
        <v/>
      </c>
      <c r="B237" s="273">
        <f>IF(A237&lt;&gt;"","IO","")</f>
        <v/>
      </c>
      <c r="C237" s="273">
        <f>IF(A237&lt;&gt;"",""&amp;DATA_IO!B234,"")</f>
        <v/>
      </c>
      <c r="D237" s="273">
        <f>IF(A237&lt;&gt;"",""&amp;DATA_IO!C234,"")</f>
        <v/>
      </c>
      <c r="E237" s="273">
        <f>IF(A237&lt;&gt;"",""&amp;DATA_IO!D234,"")</f>
        <v/>
      </c>
      <c r="F237" s="274">
        <f>IF(A237&lt;&gt;"",DATA_IO!G234,"")</f>
        <v/>
      </c>
      <c r="G237" s="273">
        <f>IF(A237&lt;&gt;"",""&amp;DATA_IO!E234,"")</f>
        <v/>
      </c>
      <c r="H237" s="273">
        <f>IF(A237&lt;&gt;"","DERIVED","")</f>
        <v/>
      </c>
    </row>
    <row r="238">
      <c r="A238" s="273">
        <f>IF(DATA_IO!A235&lt;&gt;"",""&amp;DATA_IO!A235,"")</f>
        <v/>
      </c>
      <c r="B238" s="273">
        <f>IF(A238&lt;&gt;"","IO","")</f>
        <v/>
      </c>
      <c r="C238" s="273">
        <f>IF(A238&lt;&gt;"",""&amp;DATA_IO!B235,"")</f>
        <v/>
      </c>
      <c r="D238" s="273">
        <f>IF(A238&lt;&gt;"",""&amp;DATA_IO!C235,"")</f>
        <v/>
      </c>
      <c r="E238" s="273">
        <f>IF(A238&lt;&gt;"",""&amp;DATA_IO!D235,"")</f>
        <v/>
      </c>
      <c r="F238" s="274">
        <f>IF(A238&lt;&gt;"",DATA_IO!G235,"")</f>
        <v/>
      </c>
      <c r="G238" s="273">
        <f>IF(A238&lt;&gt;"",""&amp;DATA_IO!E235,"")</f>
        <v/>
      </c>
      <c r="H238" s="273">
        <f>IF(A238&lt;&gt;"","DERIVED","")</f>
        <v/>
      </c>
    </row>
    <row r="239">
      <c r="A239" s="273">
        <f>IF(DATA_IO!A236&lt;&gt;"",""&amp;DATA_IO!A236,"")</f>
        <v/>
      </c>
      <c r="B239" s="273">
        <f>IF(A239&lt;&gt;"","IO","")</f>
        <v/>
      </c>
      <c r="C239" s="273">
        <f>IF(A239&lt;&gt;"",""&amp;DATA_IO!B236,"")</f>
        <v/>
      </c>
      <c r="D239" s="273">
        <f>IF(A239&lt;&gt;"",""&amp;DATA_IO!C236,"")</f>
        <v/>
      </c>
      <c r="E239" s="273">
        <f>IF(A239&lt;&gt;"",""&amp;DATA_IO!D236,"")</f>
        <v/>
      </c>
      <c r="F239" s="274">
        <f>IF(A239&lt;&gt;"",DATA_IO!G236,"")</f>
        <v/>
      </c>
      <c r="G239" s="273">
        <f>IF(A239&lt;&gt;"",""&amp;DATA_IO!E236,"")</f>
        <v/>
      </c>
      <c r="H239" s="273">
        <f>IF(A239&lt;&gt;"","DERIVED","")</f>
        <v/>
      </c>
    </row>
    <row r="240">
      <c r="A240" s="273">
        <f>IF(DATA_IO!A237&lt;&gt;"",""&amp;DATA_IO!A237,"")</f>
        <v/>
      </c>
      <c r="B240" s="273">
        <f>IF(A240&lt;&gt;"","IO","")</f>
        <v/>
      </c>
      <c r="C240" s="273">
        <f>IF(A240&lt;&gt;"",""&amp;DATA_IO!B237,"")</f>
        <v/>
      </c>
      <c r="D240" s="273">
        <f>IF(A240&lt;&gt;"",""&amp;DATA_IO!C237,"")</f>
        <v/>
      </c>
      <c r="E240" s="273">
        <f>IF(A240&lt;&gt;"",""&amp;DATA_IO!D237,"")</f>
        <v/>
      </c>
      <c r="F240" s="274">
        <f>IF(A240&lt;&gt;"",DATA_IO!G237,"")</f>
        <v/>
      </c>
      <c r="G240" s="273">
        <f>IF(A240&lt;&gt;"",""&amp;DATA_IO!E237,"")</f>
        <v/>
      </c>
      <c r="H240" s="273">
        <f>IF(A240&lt;&gt;"","DERIVED","")</f>
        <v/>
      </c>
    </row>
    <row r="241">
      <c r="A241" s="273">
        <f>IF(DATA_IO!A238&lt;&gt;"",""&amp;DATA_IO!A238,"")</f>
        <v/>
      </c>
      <c r="B241" s="273">
        <f>IF(A241&lt;&gt;"","IO","")</f>
        <v/>
      </c>
      <c r="C241" s="273">
        <f>IF(A241&lt;&gt;"",""&amp;DATA_IO!B238,"")</f>
        <v/>
      </c>
      <c r="D241" s="273">
        <f>IF(A241&lt;&gt;"",""&amp;DATA_IO!C238,"")</f>
        <v/>
      </c>
      <c r="E241" s="273">
        <f>IF(A241&lt;&gt;"",""&amp;DATA_IO!D238,"")</f>
        <v/>
      </c>
      <c r="F241" s="274">
        <f>IF(A241&lt;&gt;"",DATA_IO!G238,"")</f>
        <v/>
      </c>
      <c r="G241" s="273">
        <f>IF(A241&lt;&gt;"",""&amp;DATA_IO!E238,"")</f>
        <v/>
      </c>
      <c r="H241" s="273">
        <f>IF(A241&lt;&gt;"","DERIVED","")</f>
        <v/>
      </c>
    </row>
    <row r="242">
      <c r="A242" s="273">
        <f>IF(DATA_IO!A239&lt;&gt;"",""&amp;DATA_IO!A239,"")</f>
        <v/>
      </c>
      <c r="B242" s="273">
        <f>IF(A242&lt;&gt;"","IO","")</f>
        <v/>
      </c>
      <c r="C242" s="273">
        <f>IF(A242&lt;&gt;"",""&amp;DATA_IO!B239,"")</f>
        <v/>
      </c>
      <c r="D242" s="273">
        <f>IF(A242&lt;&gt;"",""&amp;DATA_IO!C239,"")</f>
        <v/>
      </c>
      <c r="E242" s="273">
        <f>IF(A242&lt;&gt;"",""&amp;DATA_IO!D239,"")</f>
        <v/>
      </c>
      <c r="F242" s="274">
        <f>IF(A242&lt;&gt;"",DATA_IO!G239,"")</f>
        <v/>
      </c>
      <c r="G242" s="273">
        <f>IF(A242&lt;&gt;"",""&amp;DATA_IO!E239,"")</f>
        <v/>
      </c>
      <c r="H242" s="273">
        <f>IF(A242&lt;&gt;"","DERIVED","")</f>
        <v/>
      </c>
    </row>
    <row r="243">
      <c r="A243" s="273">
        <f>IF(DATA_IO!A240&lt;&gt;"",""&amp;DATA_IO!A240,"")</f>
        <v/>
      </c>
      <c r="B243" s="273">
        <f>IF(A243&lt;&gt;"","IO","")</f>
        <v/>
      </c>
      <c r="C243" s="273">
        <f>IF(A243&lt;&gt;"",""&amp;DATA_IO!B240,"")</f>
        <v/>
      </c>
      <c r="D243" s="273">
        <f>IF(A243&lt;&gt;"",""&amp;DATA_IO!C240,"")</f>
        <v/>
      </c>
      <c r="E243" s="273">
        <f>IF(A243&lt;&gt;"",""&amp;DATA_IO!D240,"")</f>
        <v/>
      </c>
      <c r="F243" s="274">
        <f>IF(A243&lt;&gt;"",DATA_IO!G240,"")</f>
        <v/>
      </c>
      <c r="G243" s="273">
        <f>IF(A243&lt;&gt;"",""&amp;DATA_IO!E240,"")</f>
        <v/>
      </c>
      <c r="H243" s="273">
        <f>IF(A243&lt;&gt;"","DERIVED","")</f>
        <v/>
      </c>
    </row>
    <row r="244">
      <c r="A244" s="273">
        <f>IF(DATA_IO!A241&lt;&gt;"",""&amp;DATA_IO!A241,"")</f>
        <v/>
      </c>
      <c r="B244" s="273">
        <f>IF(A244&lt;&gt;"","IO","")</f>
        <v/>
      </c>
      <c r="C244" s="273">
        <f>IF(A244&lt;&gt;"",""&amp;DATA_IO!B241,"")</f>
        <v/>
      </c>
      <c r="D244" s="273">
        <f>IF(A244&lt;&gt;"",""&amp;DATA_IO!C241,"")</f>
        <v/>
      </c>
      <c r="E244" s="273">
        <f>IF(A244&lt;&gt;"",""&amp;DATA_IO!D241,"")</f>
        <v/>
      </c>
      <c r="F244" s="274">
        <f>IF(A244&lt;&gt;"",DATA_IO!G241,"")</f>
        <v/>
      </c>
      <c r="G244" s="273">
        <f>IF(A244&lt;&gt;"",""&amp;DATA_IO!E241,"")</f>
        <v/>
      </c>
      <c r="H244" s="273">
        <f>IF(A244&lt;&gt;"","DERIVED","")</f>
        <v/>
      </c>
    </row>
    <row r="245">
      <c r="A245" s="273">
        <f>IF(DATA_IO!A242&lt;&gt;"",""&amp;DATA_IO!A242,"")</f>
        <v/>
      </c>
      <c r="B245" s="273">
        <f>IF(A245&lt;&gt;"","IO","")</f>
        <v/>
      </c>
      <c r="C245" s="273">
        <f>IF(A245&lt;&gt;"",""&amp;DATA_IO!B242,"")</f>
        <v/>
      </c>
      <c r="D245" s="273">
        <f>IF(A245&lt;&gt;"",""&amp;DATA_IO!C242,"")</f>
        <v/>
      </c>
      <c r="E245" s="273">
        <f>IF(A245&lt;&gt;"",""&amp;DATA_IO!D242,"")</f>
        <v/>
      </c>
      <c r="F245" s="274">
        <f>IF(A245&lt;&gt;"",DATA_IO!G242,"")</f>
        <v/>
      </c>
      <c r="G245" s="273">
        <f>IF(A245&lt;&gt;"",""&amp;DATA_IO!E242,"")</f>
        <v/>
      </c>
      <c r="H245" s="273">
        <f>IF(A245&lt;&gt;"","DERIVED","")</f>
        <v/>
      </c>
    </row>
    <row r="246">
      <c r="A246" s="273">
        <f>IF(DATA_IO!A243&lt;&gt;"",""&amp;DATA_IO!A243,"")</f>
        <v/>
      </c>
      <c r="B246" s="273">
        <f>IF(A246&lt;&gt;"","IO","")</f>
        <v/>
      </c>
      <c r="C246" s="273">
        <f>IF(A246&lt;&gt;"",""&amp;DATA_IO!B243,"")</f>
        <v/>
      </c>
      <c r="D246" s="273">
        <f>IF(A246&lt;&gt;"",""&amp;DATA_IO!C243,"")</f>
        <v/>
      </c>
      <c r="E246" s="273">
        <f>IF(A246&lt;&gt;"",""&amp;DATA_IO!D243,"")</f>
        <v/>
      </c>
      <c r="F246" s="274">
        <f>IF(A246&lt;&gt;"",DATA_IO!G243,"")</f>
        <v/>
      </c>
      <c r="G246" s="273">
        <f>IF(A246&lt;&gt;"",""&amp;DATA_IO!E243,"")</f>
        <v/>
      </c>
      <c r="H246" s="273">
        <f>IF(A246&lt;&gt;"","DERIVED","")</f>
        <v/>
      </c>
    </row>
    <row r="247">
      <c r="A247" s="273">
        <f>IF(DATA_IO!A244&lt;&gt;"",""&amp;DATA_IO!A244,"")</f>
        <v/>
      </c>
      <c r="B247" s="273">
        <f>IF(A247&lt;&gt;"","IO","")</f>
        <v/>
      </c>
      <c r="C247" s="273">
        <f>IF(A247&lt;&gt;"",""&amp;DATA_IO!B244,"")</f>
        <v/>
      </c>
      <c r="D247" s="273">
        <f>IF(A247&lt;&gt;"",""&amp;DATA_IO!C244,"")</f>
        <v/>
      </c>
      <c r="E247" s="273">
        <f>IF(A247&lt;&gt;"",""&amp;DATA_IO!D244,"")</f>
        <v/>
      </c>
      <c r="F247" s="274">
        <f>IF(A247&lt;&gt;"",DATA_IO!G244,"")</f>
        <v/>
      </c>
      <c r="G247" s="273">
        <f>IF(A247&lt;&gt;"",""&amp;DATA_IO!E244,"")</f>
        <v/>
      </c>
      <c r="H247" s="273">
        <f>IF(A247&lt;&gt;"","DERIVED","")</f>
        <v/>
      </c>
    </row>
    <row r="248">
      <c r="A248" s="273">
        <f>IF(DATA_IO!A245&lt;&gt;"",""&amp;DATA_IO!A245,"")</f>
        <v/>
      </c>
      <c r="B248" s="273">
        <f>IF(A248&lt;&gt;"","IO","")</f>
        <v/>
      </c>
      <c r="C248" s="273">
        <f>IF(A248&lt;&gt;"",""&amp;DATA_IO!B245,"")</f>
        <v/>
      </c>
      <c r="D248" s="273">
        <f>IF(A248&lt;&gt;"",""&amp;DATA_IO!C245,"")</f>
        <v/>
      </c>
      <c r="E248" s="273">
        <f>IF(A248&lt;&gt;"",""&amp;DATA_IO!D245,"")</f>
        <v/>
      </c>
      <c r="F248" s="274">
        <f>IF(A248&lt;&gt;"",DATA_IO!G245,"")</f>
        <v/>
      </c>
      <c r="G248" s="273">
        <f>IF(A248&lt;&gt;"",""&amp;DATA_IO!E245,"")</f>
        <v/>
      </c>
      <c r="H248" s="273">
        <f>IF(A248&lt;&gt;"","DERIVED","")</f>
        <v/>
      </c>
    </row>
    <row r="249">
      <c r="A249" s="273">
        <f>IF(DATA_IO!A246&lt;&gt;"",""&amp;DATA_IO!A246,"")</f>
        <v/>
      </c>
      <c r="B249" s="273">
        <f>IF(A249&lt;&gt;"","IO","")</f>
        <v/>
      </c>
      <c r="C249" s="273">
        <f>IF(A249&lt;&gt;"",""&amp;DATA_IO!B246,"")</f>
        <v/>
      </c>
      <c r="D249" s="273">
        <f>IF(A249&lt;&gt;"",""&amp;DATA_IO!C246,"")</f>
        <v/>
      </c>
      <c r="E249" s="273">
        <f>IF(A249&lt;&gt;"",""&amp;DATA_IO!D246,"")</f>
        <v/>
      </c>
      <c r="F249" s="274">
        <f>IF(A249&lt;&gt;"",DATA_IO!G246,"")</f>
        <v/>
      </c>
      <c r="G249" s="273">
        <f>IF(A249&lt;&gt;"",""&amp;DATA_IO!E246,"")</f>
        <v/>
      </c>
      <c r="H249" s="273">
        <f>IF(A249&lt;&gt;"","DERIVED","")</f>
        <v/>
      </c>
    </row>
    <row r="250">
      <c r="A250" s="273">
        <f>IF(DATA_IO!A247&lt;&gt;"",""&amp;DATA_IO!A247,"")</f>
        <v/>
      </c>
      <c r="B250" s="273">
        <f>IF(A250&lt;&gt;"","IO","")</f>
        <v/>
      </c>
      <c r="C250" s="273">
        <f>IF(A250&lt;&gt;"",""&amp;DATA_IO!B247,"")</f>
        <v/>
      </c>
      <c r="D250" s="273">
        <f>IF(A250&lt;&gt;"",""&amp;DATA_IO!C247,"")</f>
        <v/>
      </c>
      <c r="E250" s="273">
        <f>IF(A250&lt;&gt;"",""&amp;DATA_IO!D247,"")</f>
        <v/>
      </c>
      <c r="F250" s="274">
        <f>IF(A250&lt;&gt;"",DATA_IO!G247,"")</f>
        <v/>
      </c>
      <c r="G250" s="273">
        <f>IF(A250&lt;&gt;"",""&amp;DATA_IO!E247,"")</f>
        <v/>
      </c>
      <c r="H250" s="273">
        <f>IF(A250&lt;&gt;"","DERIVED","")</f>
        <v/>
      </c>
    </row>
    <row r="251">
      <c r="A251" s="273">
        <f>IF(DATA_IO!A248&lt;&gt;"",""&amp;DATA_IO!A248,"")</f>
        <v/>
      </c>
      <c r="B251" s="273">
        <f>IF(A251&lt;&gt;"","IO","")</f>
        <v/>
      </c>
      <c r="C251" s="273">
        <f>IF(A251&lt;&gt;"",""&amp;DATA_IO!B248,"")</f>
        <v/>
      </c>
      <c r="D251" s="273">
        <f>IF(A251&lt;&gt;"",""&amp;DATA_IO!C248,"")</f>
        <v/>
      </c>
      <c r="E251" s="273">
        <f>IF(A251&lt;&gt;"",""&amp;DATA_IO!D248,"")</f>
        <v/>
      </c>
      <c r="F251" s="274">
        <f>IF(A251&lt;&gt;"",DATA_IO!G248,"")</f>
        <v/>
      </c>
      <c r="G251" s="273">
        <f>IF(A251&lt;&gt;"",""&amp;DATA_IO!E248,"")</f>
        <v/>
      </c>
      <c r="H251" s="273">
        <f>IF(A251&lt;&gt;"","DERIVED","")</f>
        <v/>
      </c>
    </row>
    <row r="252">
      <c r="A252" s="273">
        <f>IF(DATA_IO!A249&lt;&gt;"",""&amp;DATA_IO!A249,"")</f>
        <v/>
      </c>
      <c r="B252" s="273">
        <f>IF(A252&lt;&gt;"","IO","")</f>
        <v/>
      </c>
      <c r="C252" s="273">
        <f>IF(A252&lt;&gt;"",""&amp;DATA_IO!B249,"")</f>
        <v/>
      </c>
      <c r="D252" s="273">
        <f>IF(A252&lt;&gt;"",""&amp;DATA_IO!C249,"")</f>
        <v/>
      </c>
      <c r="E252" s="273">
        <f>IF(A252&lt;&gt;"",""&amp;DATA_IO!D249,"")</f>
        <v/>
      </c>
      <c r="F252" s="274">
        <f>IF(A252&lt;&gt;"",DATA_IO!G249,"")</f>
        <v/>
      </c>
      <c r="G252" s="273">
        <f>IF(A252&lt;&gt;"",""&amp;DATA_IO!E249,"")</f>
        <v/>
      </c>
      <c r="H252" s="273">
        <f>IF(A252&lt;&gt;"","DERIVED","")</f>
        <v/>
      </c>
    </row>
    <row r="253">
      <c r="A253" s="273">
        <f>IF(DATA_IO!A250&lt;&gt;"",""&amp;DATA_IO!A250,"")</f>
        <v/>
      </c>
      <c r="B253" s="273">
        <f>IF(A253&lt;&gt;"","IO","")</f>
        <v/>
      </c>
      <c r="C253" s="273">
        <f>IF(A253&lt;&gt;"",""&amp;DATA_IO!B250,"")</f>
        <v/>
      </c>
      <c r="D253" s="273">
        <f>IF(A253&lt;&gt;"",""&amp;DATA_IO!C250,"")</f>
        <v/>
      </c>
      <c r="E253" s="273">
        <f>IF(A253&lt;&gt;"",""&amp;DATA_IO!D250,"")</f>
        <v/>
      </c>
      <c r="F253" s="274">
        <f>IF(A253&lt;&gt;"",DATA_IO!G250,"")</f>
        <v/>
      </c>
      <c r="G253" s="273">
        <f>IF(A253&lt;&gt;"",""&amp;DATA_IO!E250,"")</f>
        <v/>
      </c>
      <c r="H253" s="273">
        <f>IF(A253&lt;&gt;"","DERIVED","")</f>
        <v/>
      </c>
    </row>
    <row r="254">
      <c r="A254" s="273">
        <f>IF(DATA_IO!A251&lt;&gt;"",""&amp;DATA_IO!A251,"")</f>
        <v/>
      </c>
      <c r="B254" s="273">
        <f>IF(A254&lt;&gt;"","IO","")</f>
        <v/>
      </c>
      <c r="C254" s="273">
        <f>IF(A254&lt;&gt;"",""&amp;DATA_IO!B251,"")</f>
        <v/>
      </c>
      <c r="D254" s="273">
        <f>IF(A254&lt;&gt;"",""&amp;DATA_IO!C251,"")</f>
        <v/>
      </c>
      <c r="E254" s="273">
        <f>IF(A254&lt;&gt;"",""&amp;DATA_IO!D251,"")</f>
        <v/>
      </c>
      <c r="F254" s="274">
        <f>IF(A254&lt;&gt;"",DATA_IO!G251,"")</f>
        <v/>
      </c>
      <c r="G254" s="273">
        <f>IF(A254&lt;&gt;"",""&amp;DATA_IO!E251,"")</f>
        <v/>
      </c>
      <c r="H254" s="273">
        <f>IF(A254&lt;&gt;"","DERIVED","")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cols>
    <col width="35" customWidth="1" style="132" min="1" max="1"/>
    <col width="12" customWidth="1" style="132" min="2" max="2"/>
    <col width="65" customWidth="1" style="132" min="3" max="3"/>
    <col width="25" customWidth="1" style="132" min="4" max="4"/>
    <col width="25" customWidth="1" style="132" min="5" max="5"/>
    <col width="25" customWidth="1" style="132" min="6" max="6"/>
    <col width="16" customWidth="1" style="132" min="7" max="7"/>
    <col width="35" customWidth="1" style="132" min="8" max="8"/>
  </cols>
  <sheetData>
    <row r="1">
      <c r="A1" s="276" t="inlineStr">
        <is>
          <t>RESEARCH INTELLIGENCE ENGINE (RIE) — EVIDENCE OBJECT (EO) REGISTRY</t>
        </is>
      </c>
      <c r="F1" s="277">
        <f>HYPERLINK("#'01_Executive_Dashboard'!A1", "⮌ BACK TO DASHBOARD")</f>
        <v/>
      </c>
      <c r="G1" s="277">
        <f>HYPERLINK("#'02A_KO_Registry'!A1", "➔ KO REGISTRY")</f>
        <v/>
      </c>
      <c r="H1" s="277">
        <f>HYPERLINK("#'02B_IO_Registry'!A1", "➔ IO REGISTRY")</f>
        <v/>
      </c>
    </row>
    <row r="2">
      <c r="A2" s="261">
        <f>"Authoritative Evidence Objects (" &amp; COUNTA(DATA_EO!A2:A1000) &amp; " EOs) | Substrate Dynamic Projection"</f>
        <v/>
      </c>
    </row>
    <row r="3"/>
    <row r="4" ht="24" customHeight="1" s="132">
      <c r="A4" s="278" t="inlineStr">
        <is>
          <t>Object_ID</t>
        </is>
      </c>
      <c r="B4" s="278" t="inlineStr">
        <is>
          <t>Object_Type</t>
        </is>
      </c>
      <c r="C4" s="278" t="inlineStr">
        <is>
          <t>Direct Empirical Observation</t>
        </is>
      </c>
      <c r="D4" s="278" t="inlineStr">
        <is>
          <t>Source_ID</t>
        </is>
      </c>
      <c r="E4" s="278" t="inlineStr">
        <is>
          <t>RIE_Domain</t>
        </is>
      </c>
      <c r="F4" s="278" t="inlineStr">
        <is>
          <t>Evidence_Type</t>
        </is>
      </c>
      <c r="G4" s="278" t="inlineStr">
        <is>
          <t>Timestamp / Page</t>
        </is>
      </c>
      <c r="H4" s="278" t="inlineStr">
        <is>
          <t>Linked_IO</t>
        </is>
      </c>
    </row>
    <row r="5">
      <c r="A5" s="273">
        <f>IF(DATA_EO!A2&lt;&gt;"",""&amp;DATA_EO!A2,"")</f>
        <v/>
      </c>
      <c r="B5" s="273">
        <f>IF(A5&lt;&gt;"","EO","")</f>
        <v/>
      </c>
      <c r="C5" s="273">
        <f>IF(A5&lt;&gt;"",""&amp;DATA_EO!L2,"")</f>
        <v/>
      </c>
      <c r="D5" s="273">
        <f>IF(A5&lt;&gt;"",""&amp;DATA_EO!B2,"")</f>
        <v/>
      </c>
      <c r="E5" s="273">
        <f>IF(A5&lt;&gt;"",""&amp;DATA_EO!G2,"")</f>
        <v/>
      </c>
      <c r="F5" s="273">
        <f>IF(A5&lt;&gt;"",""&amp;DATA_EO!K2,"")</f>
        <v/>
      </c>
      <c r="G5" s="273">
        <f>IF(A5&lt;&gt;"",""&amp;DATA_EO!J2,"")</f>
        <v/>
      </c>
      <c r="H5" s="273">
        <f>IF(A5&lt;&gt;"",""&amp;DATA_EO!M2,"")</f>
        <v/>
      </c>
    </row>
    <row r="6">
      <c r="A6" s="273">
        <f>IF(DATA_EO!A3&lt;&gt;"",""&amp;DATA_EO!A3,"")</f>
        <v/>
      </c>
      <c r="B6" s="273">
        <f>IF(A6&lt;&gt;"","EO","")</f>
        <v/>
      </c>
      <c r="C6" s="273">
        <f>IF(A6&lt;&gt;"",""&amp;DATA_EO!L3,"")</f>
        <v/>
      </c>
      <c r="D6" s="273">
        <f>IF(A6&lt;&gt;"",""&amp;DATA_EO!B3,"")</f>
        <v/>
      </c>
      <c r="E6" s="273">
        <f>IF(A6&lt;&gt;"",""&amp;DATA_EO!G3,"")</f>
        <v/>
      </c>
      <c r="F6" s="273">
        <f>IF(A6&lt;&gt;"",""&amp;DATA_EO!K3,"")</f>
        <v/>
      </c>
      <c r="G6" s="273">
        <f>IF(A6&lt;&gt;"",""&amp;DATA_EO!J3,"")</f>
        <v/>
      </c>
      <c r="H6" s="273">
        <f>IF(A6&lt;&gt;"",""&amp;DATA_EO!M3,"")</f>
        <v/>
      </c>
    </row>
    <row r="7">
      <c r="A7" s="273">
        <f>IF(DATA_EO!A4&lt;&gt;"",""&amp;DATA_EO!A4,"")</f>
        <v/>
      </c>
      <c r="B7" s="273">
        <f>IF(A7&lt;&gt;"","EO","")</f>
        <v/>
      </c>
      <c r="C7" s="273">
        <f>IF(A7&lt;&gt;"",""&amp;DATA_EO!L4,"")</f>
        <v/>
      </c>
      <c r="D7" s="273">
        <f>IF(A7&lt;&gt;"",""&amp;DATA_EO!B4,"")</f>
        <v/>
      </c>
      <c r="E7" s="273">
        <f>IF(A7&lt;&gt;"",""&amp;DATA_EO!G4,"")</f>
        <v/>
      </c>
      <c r="F7" s="273">
        <f>IF(A7&lt;&gt;"",""&amp;DATA_EO!K4,"")</f>
        <v/>
      </c>
      <c r="G7" s="273">
        <f>IF(A7&lt;&gt;"",""&amp;DATA_EO!J4,"")</f>
        <v/>
      </c>
      <c r="H7" s="273">
        <f>IF(A7&lt;&gt;"",""&amp;DATA_EO!M4,"")</f>
        <v/>
      </c>
    </row>
    <row r="8">
      <c r="A8" s="273">
        <f>IF(DATA_EO!A5&lt;&gt;"",""&amp;DATA_EO!A5,"")</f>
        <v/>
      </c>
      <c r="B8" s="273">
        <f>IF(A8&lt;&gt;"","EO","")</f>
        <v/>
      </c>
      <c r="C8" s="273">
        <f>IF(A8&lt;&gt;"",""&amp;DATA_EO!L5,"")</f>
        <v/>
      </c>
      <c r="D8" s="273">
        <f>IF(A8&lt;&gt;"",""&amp;DATA_EO!B5,"")</f>
        <v/>
      </c>
      <c r="E8" s="273">
        <f>IF(A8&lt;&gt;"",""&amp;DATA_EO!G5,"")</f>
        <v/>
      </c>
      <c r="F8" s="273">
        <f>IF(A8&lt;&gt;"",""&amp;DATA_EO!K5,"")</f>
        <v/>
      </c>
      <c r="G8" s="273">
        <f>IF(A8&lt;&gt;"",""&amp;DATA_EO!J5,"")</f>
        <v/>
      </c>
      <c r="H8" s="273">
        <f>IF(A8&lt;&gt;"",""&amp;DATA_EO!M5,"")</f>
        <v/>
      </c>
    </row>
    <row r="9">
      <c r="A9" s="273">
        <f>IF(DATA_EO!A6&lt;&gt;"",""&amp;DATA_EO!A6,"")</f>
        <v/>
      </c>
      <c r="B9" s="273">
        <f>IF(A9&lt;&gt;"","EO","")</f>
        <v/>
      </c>
      <c r="C9" s="273">
        <f>IF(A9&lt;&gt;"",""&amp;DATA_EO!L6,"")</f>
        <v/>
      </c>
      <c r="D9" s="273">
        <f>IF(A9&lt;&gt;"",""&amp;DATA_EO!B6,"")</f>
        <v/>
      </c>
      <c r="E9" s="273">
        <f>IF(A9&lt;&gt;"",""&amp;DATA_EO!G6,"")</f>
        <v/>
      </c>
      <c r="F9" s="273">
        <f>IF(A9&lt;&gt;"",""&amp;DATA_EO!K6,"")</f>
        <v/>
      </c>
      <c r="G9" s="273">
        <f>IF(A9&lt;&gt;"",""&amp;DATA_EO!J6,"")</f>
        <v/>
      </c>
      <c r="H9" s="273">
        <f>IF(A9&lt;&gt;"",""&amp;DATA_EO!M6,"")</f>
        <v/>
      </c>
    </row>
    <row r="10">
      <c r="A10" s="273">
        <f>IF(DATA_EO!A7&lt;&gt;"",""&amp;DATA_EO!A7,"")</f>
        <v/>
      </c>
      <c r="B10" s="273">
        <f>IF(A10&lt;&gt;"","EO","")</f>
        <v/>
      </c>
      <c r="C10" s="273">
        <f>IF(A10&lt;&gt;"",""&amp;DATA_EO!L7,"")</f>
        <v/>
      </c>
      <c r="D10" s="273">
        <f>IF(A10&lt;&gt;"",""&amp;DATA_EO!B7,"")</f>
        <v/>
      </c>
      <c r="E10" s="273">
        <f>IF(A10&lt;&gt;"",""&amp;DATA_EO!G7,"")</f>
        <v/>
      </c>
      <c r="F10" s="273">
        <f>IF(A10&lt;&gt;"",""&amp;DATA_EO!K7,"")</f>
        <v/>
      </c>
      <c r="G10" s="273">
        <f>IF(A10&lt;&gt;"",""&amp;DATA_EO!J7,"")</f>
        <v/>
      </c>
      <c r="H10" s="273">
        <f>IF(A10&lt;&gt;"",""&amp;DATA_EO!M7,"")</f>
        <v/>
      </c>
    </row>
    <row r="11">
      <c r="A11" s="273">
        <f>IF(DATA_EO!A8&lt;&gt;"",""&amp;DATA_EO!A8,"")</f>
        <v/>
      </c>
      <c r="B11" s="273">
        <f>IF(A11&lt;&gt;"","EO","")</f>
        <v/>
      </c>
      <c r="C11" s="273">
        <f>IF(A11&lt;&gt;"",""&amp;DATA_EO!L8,"")</f>
        <v/>
      </c>
      <c r="D11" s="273">
        <f>IF(A11&lt;&gt;"",""&amp;DATA_EO!B8,"")</f>
        <v/>
      </c>
      <c r="E11" s="273">
        <f>IF(A11&lt;&gt;"",""&amp;DATA_EO!G8,"")</f>
        <v/>
      </c>
      <c r="F11" s="273">
        <f>IF(A11&lt;&gt;"",""&amp;DATA_EO!K8,"")</f>
        <v/>
      </c>
      <c r="G11" s="273">
        <f>IF(A11&lt;&gt;"",""&amp;DATA_EO!J8,"")</f>
        <v/>
      </c>
      <c r="H11" s="273">
        <f>IF(A11&lt;&gt;"",""&amp;DATA_EO!M8,"")</f>
        <v/>
      </c>
    </row>
    <row r="12">
      <c r="A12" s="273">
        <f>IF(DATA_EO!A9&lt;&gt;"",""&amp;DATA_EO!A9,"")</f>
        <v/>
      </c>
      <c r="B12" s="273">
        <f>IF(A12&lt;&gt;"","EO","")</f>
        <v/>
      </c>
      <c r="C12" s="273">
        <f>IF(A12&lt;&gt;"",""&amp;DATA_EO!L9,"")</f>
        <v/>
      </c>
      <c r="D12" s="273">
        <f>IF(A12&lt;&gt;"",""&amp;DATA_EO!B9,"")</f>
        <v/>
      </c>
      <c r="E12" s="273">
        <f>IF(A12&lt;&gt;"",""&amp;DATA_EO!G9,"")</f>
        <v/>
      </c>
      <c r="F12" s="273">
        <f>IF(A12&lt;&gt;"",""&amp;DATA_EO!K9,"")</f>
        <v/>
      </c>
      <c r="G12" s="273">
        <f>IF(A12&lt;&gt;"",""&amp;DATA_EO!J9,"")</f>
        <v/>
      </c>
      <c r="H12" s="273">
        <f>IF(A12&lt;&gt;"",""&amp;DATA_EO!M9,"")</f>
        <v/>
      </c>
    </row>
    <row r="13">
      <c r="A13" s="273">
        <f>IF(DATA_EO!A10&lt;&gt;"",""&amp;DATA_EO!A10,"")</f>
        <v/>
      </c>
      <c r="B13" s="273">
        <f>IF(A13&lt;&gt;"","EO","")</f>
        <v/>
      </c>
      <c r="C13" s="273">
        <f>IF(A13&lt;&gt;"",""&amp;DATA_EO!L10,"")</f>
        <v/>
      </c>
      <c r="D13" s="273">
        <f>IF(A13&lt;&gt;"",""&amp;DATA_EO!B10,"")</f>
        <v/>
      </c>
      <c r="E13" s="273">
        <f>IF(A13&lt;&gt;"",""&amp;DATA_EO!G10,"")</f>
        <v/>
      </c>
      <c r="F13" s="273">
        <f>IF(A13&lt;&gt;"",""&amp;DATA_EO!K10,"")</f>
        <v/>
      </c>
      <c r="G13" s="273">
        <f>IF(A13&lt;&gt;"",""&amp;DATA_EO!J10,"")</f>
        <v/>
      </c>
      <c r="H13" s="273">
        <f>IF(A13&lt;&gt;"",""&amp;DATA_EO!M10,"")</f>
        <v/>
      </c>
    </row>
    <row r="14">
      <c r="A14" s="273">
        <f>IF(DATA_EO!A11&lt;&gt;"",""&amp;DATA_EO!A11,"")</f>
        <v/>
      </c>
      <c r="B14" s="273">
        <f>IF(A14&lt;&gt;"","EO","")</f>
        <v/>
      </c>
      <c r="C14" s="273">
        <f>IF(A14&lt;&gt;"",""&amp;DATA_EO!L11,"")</f>
        <v/>
      </c>
      <c r="D14" s="273">
        <f>IF(A14&lt;&gt;"",""&amp;DATA_EO!B11,"")</f>
        <v/>
      </c>
      <c r="E14" s="273">
        <f>IF(A14&lt;&gt;"",""&amp;DATA_EO!G11,"")</f>
        <v/>
      </c>
      <c r="F14" s="273">
        <f>IF(A14&lt;&gt;"",""&amp;DATA_EO!K11,"")</f>
        <v/>
      </c>
      <c r="G14" s="273">
        <f>IF(A14&lt;&gt;"",""&amp;DATA_EO!J11,"")</f>
        <v/>
      </c>
      <c r="H14" s="273">
        <f>IF(A14&lt;&gt;"",""&amp;DATA_EO!M11,"")</f>
        <v/>
      </c>
    </row>
    <row r="15">
      <c r="A15" s="273">
        <f>IF(DATA_EO!A12&lt;&gt;"",""&amp;DATA_EO!A12,"")</f>
        <v/>
      </c>
      <c r="B15" s="273">
        <f>IF(A15&lt;&gt;"","EO","")</f>
        <v/>
      </c>
      <c r="C15" s="273">
        <f>IF(A15&lt;&gt;"",""&amp;DATA_EO!L12,"")</f>
        <v/>
      </c>
      <c r="D15" s="273">
        <f>IF(A15&lt;&gt;"",""&amp;DATA_EO!B12,"")</f>
        <v/>
      </c>
      <c r="E15" s="273">
        <f>IF(A15&lt;&gt;"",""&amp;DATA_EO!G12,"")</f>
        <v/>
      </c>
      <c r="F15" s="273">
        <f>IF(A15&lt;&gt;"",""&amp;DATA_EO!K12,"")</f>
        <v/>
      </c>
      <c r="G15" s="273">
        <f>IF(A15&lt;&gt;"",""&amp;DATA_EO!J12,"")</f>
        <v/>
      </c>
      <c r="H15" s="273">
        <f>IF(A15&lt;&gt;"",""&amp;DATA_EO!M12,"")</f>
        <v/>
      </c>
    </row>
    <row r="16">
      <c r="A16" s="273">
        <f>IF(DATA_EO!A13&lt;&gt;"",""&amp;DATA_EO!A13,"")</f>
        <v/>
      </c>
      <c r="B16" s="273">
        <f>IF(A16&lt;&gt;"","EO","")</f>
        <v/>
      </c>
      <c r="C16" s="273">
        <f>IF(A16&lt;&gt;"",""&amp;DATA_EO!L13,"")</f>
        <v/>
      </c>
      <c r="D16" s="273">
        <f>IF(A16&lt;&gt;"",""&amp;DATA_EO!B13,"")</f>
        <v/>
      </c>
      <c r="E16" s="273">
        <f>IF(A16&lt;&gt;"",""&amp;DATA_EO!G13,"")</f>
        <v/>
      </c>
      <c r="F16" s="273">
        <f>IF(A16&lt;&gt;"",""&amp;DATA_EO!K13,"")</f>
        <v/>
      </c>
      <c r="G16" s="273">
        <f>IF(A16&lt;&gt;"",""&amp;DATA_EO!J13,"")</f>
        <v/>
      </c>
      <c r="H16" s="273">
        <f>IF(A16&lt;&gt;"",""&amp;DATA_EO!M13,"")</f>
        <v/>
      </c>
    </row>
    <row r="17">
      <c r="A17" s="273">
        <f>IF(DATA_EO!A14&lt;&gt;"",""&amp;DATA_EO!A14,"")</f>
        <v/>
      </c>
      <c r="B17" s="273">
        <f>IF(A17&lt;&gt;"","EO","")</f>
        <v/>
      </c>
      <c r="C17" s="273">
        <f>IF(A17&lt;&gt;"",""&amp;DATA_EO!L14,"")</f>
        <v/>
      </c>
      <c r="D17" s="273">
        <f>IF(A17&lt;&gt;"",""&amp;DATA_EO!B14,"")</f>
        <v/>
      </c>
      <c r="E17" s="273">
        <f>IF(A17&lt;&gt;"",""&amp;DATA_EO!G14,"")</f>
        <v/>
      </c>
      <c r="F17" s="273">
        <f>IF(A17&lt;&gt;"",""&amp;DATA_EO!K14,"")</f>
        <v/>
      </c>
      <c r="G17" s="273">
        <f>IF(A17&lt;&gt;"",""&amp;DATA_EO!J14,"")</f>
        <v/>
      </c>
      <c r="H17" s="273">
        <f>IF(A17&lt;&gt;"",""&amp;DATA_EO!M14,"")</f>
        <v/>
      </c>
    </row>
    <row r="18">
      <c r="A18" s="273">
        <f>IF(DATA_EO!A15&lt;&gt;"",""&amp;DATA_EO!A15,"")</f>
        <v/>
      </c>
      <c r="B18" s="273">
        <f>IF(A18&lt;&gt;"","EO","")</f>
        <v/>
      </c>
      <c r="C18" s="273">
        <f>IF(A18&lt;&gt;"",""&amp;DATA_EO!L15,"")</f>
        <v/>
      </c>
      <c r="D18" s="273">
        <f>IF(A18&lt;&gt;"",""&amp;DATA_EO!B15,"")</f>
        <v/>
      </c>
      <c r="E18" s="273">
        <f>IF(A18&lt;&gt;"",""&amp;DATA_EO!G15,"")</f>
        <v/>
      </c>
      <c r="F18" s="273">
        <f>IF(A18&lt;&gt;"",""&amp;DATA_EO!K15,"")</f>
        <v/>
      </c>
      <c r="G18" s="273">
        <f>IF(A18&lt;&gt;"",""&amp;DATA_EO!J15,"")</f>
        <v/>
      </c>
      <c r="H18" s="273">
        <f>IF(A18&lt;&gt;"",""&amp;DATA_EO!M15,"")</f>
        <v/>
      </c>
    </row>
    <row r="19">
      <c r="A19" s="273">
        <f>IF(DATA_EO!A16&lt;&gt;"",""&amp;DATA_EO!A16,"")</f>
        <v/>
      </c>
      <c r="B19" s="273">
        <f>IF(A19&lt;&gt;"","EO","")</f>
        <v/>
      </c>
      <c r="C19" s="273">
        <f>IF(A19&lt;&gt;"",""&amp;DATA_EO!L16,"")</f>
        <v/>
      </c>
      <c r="D19" s="273">
        <f>IF(A19&lt;&gt;"",""&amp;DATA_EO!B16,"")</f>
        <v/>
      </c>
      <c r="E19" s="273">
        <f>IF(A19&lt;&gt;"",""&amp;DATA_EO!G16,"")</f>
        <v/>
      </c>
      <c r="F19" s="273">
        <f>IF(A19&lt;&gt;"",""&amp;DATA_EO!K16,"")</f>
        <v/>
      </c>
      <c r="G19" s="273">
        <f>IF(A19&lt;&gt;"",""&amp;DATA_EO!J16,"")</f>
        <v/>
      </c>
      <c r="H19" s="273">
        <f>IF(A19&lt;&gt;"",""&amp;DATA_EO!M16,"")</f>
        <v/>
      </c>
    </row>
    <row r="20">
      <c r="A20" s="273">
        <f>IF(DATA_EO!A17&lt;&gt;"",""&amp;DATA_EO!A17,"")</f>
        <v/>
      </c>
      <c r="B20" s="273">
        <f>IF(A20&lt;&gt;"","EO","")</f>
        <v/>
      </c>
      <c r="C20" s="273">
        <f>IF(A20&lt;&gt;"",""&amp;DATA_EO!L17,"")</f>
        <v/>
      </c>
      <c r="D20" s="273">
        <f>IF(A20&lt;&gt;"",""&amp;DATA_EO!B17,"")</f>
        <v/>
      </c>
      <c r="E20" s="273">
        <f>IF(A20&lt;&gt;"",""&amp;DATA_EO!G17,"")</f>
        <v/>
      </c>
      <c r="F20" s="273">
        <f>IF(A20&lt;&gt;"",""&amp;DATA_EO!K17,"")</f>
        <v/>
      </c>
      <c r="G20" s="273">
        <f>IF(A20&lt;&gt;"",""&amp;DATA_EO!J17,"")</f>
        <v/>
      </c>
      <c r="H20" s="273">
        <f>IF(A20&lt;&gt;"",""&amp;DATA_EO!M17,"")</f>
        <v/>
      </c>
    </row>
    <row r="21">
      <c r="A21" s="273">
        <f>IF(DATA_EO!A18&lt;&gt;"",""&amp;DATA_EO!A18,"")</f>
        <v/>
      </c>
      <c r="B21" s="273">
        <f>IF(A21&lt;&gt;"","EO","")</f>
        <v/>
      </c>
      <c r="C21" s="273">
        <f>IF(A21&lt;&gt;"",""&amp;DATA_EO!L18,"")</f>
        <v/>
      </c>
      <c r="D21" s="273">
        <f>IF(A21&lt;&gt;"",""&amp;DATA_EO!B18,"")</f>
        <v/>
      </c>
      <c r="E21" s="273">
        <f>IF(A21&lt;&gt;"",""&amp;DATA_EO!G18,"")</f>
        <v/>
      </c>
      <c r="F21" s="273">
        <f>IF(A21&lt;&gt;"",""&amp;DATA_EO!K18,"")</f>
        <v/>
      </c>
      <c r="G21" s="273">
        <f>IF(A21&lt;&gt;"",""&amp;DATA_EO!J18,"")</f>
        <v/>
      </c>
      <c r="H21" s="273">
        <f>IF(A21&lt;&gt;"",""&amp;DATA_EO!M18,"")</f>
        <v/>
      </c>
    </row>
    <row r="22">
      <c r="A22" s="273">
        <f>IF(DATA_EO!A19&lt;&gt;"",""&amp;DATA_EO!A19,"")</f>
        <v/>
      </c>
      <c r="B22" s="273">
        <f>IF(A22&lt;&gt;"","EO","")</f>
        <v/>
      </c>
      <c r="C22" s="273">
        <f>IF(A22&lt;&gt;"",""&amp;DATA_EO!L19,"")</f>
        <v/>
      </c>
      <c r="D22" s="273">
        <f>IF(A22&lt;&gt;"",""&amp;DATA_EO!B19,"")</f>
        <v/>
      </c>
      <c r="E22" s="273">
        <f>IF(A22&lt;&gt;"",""&amp;DATA_EO!G19,"")</f>
        <v/>
      </c>
      <c r="F22" s="273">
        <f>IF(A22&lt;&gt;"",""&amp;DATA_EO!K19,"")</f>
        <v/>
      </c>
      <c r="G22" s="273">
        <f>IF(A22&lt;&gt;"",""&amp;DATA_EO!J19,"")</f>
        <v/>
      </c>
      <c r="H22" s="273">
        <f>IF(A22&lt;&gt;"",""&amp;DATA_EO!M19,"")</f>
        <v/>
      </c>
    </row>
    <row r="23">
      <c r="A23" s="273">
        <f>IF(DATA_EO!A20&lt;&gt;"",""&amp;DATA_EO!A20,"")</f>
        <v/>
      </c>
      <c r="B23" s="273">
        <f>IF(A23&lt;&gt;"","EO","")</f>
        <v/>
      </c>
      <c r="C23" s="273">
        <f>IF(A23&lt;&gt;"",""&amp;DATA_EO!L20,"")</f>
        <v/>
      </c>
      <c r="D23" s="273">
        <f>IF(A23&lt;&gt;"",""&amp;DATA_EO!B20,"")</f>
        <v/>
      </c>
      <c r="E23" s="273">
        <f>IF(A23&lt;&gt;"",""&amp;DATA_EO!G20,"")</f>
        <v/>
      </c>
      <c r="F23" s="273">
        <f>IF(A23&lt;&gt;"",""&amp;DATA_EO!K20,"")</f>
        <v/>
      </c>
      <c r="G23" s="273">
        <f>IF(A23&lt;&gt;"",""&amp;DATA_EO!J20,"")</f>
        <v/>
      </c>
      <c r="H23" s="273">
        <f>IF(A23&lt;&gt;"",""&amp;DATA_EO!M20,"")</f>
        <v/>
      </c>
    </row>
    <row r="24">
      <c r="A24" s="273">
        <f>IF(DATA_EO!A21&lt;&gt;"",""&amp;DATA_EO!A21,"")</f>
        <v/>
      </c>
      <c r="B24" s="273">
        <f>IF(A24&lt;&gt;"","EO","")</f>
        <v/>
      </c>
      <c r="C24" s="273">
        <f>IF(A24&lt;&gt;"",""&amp;DATA_EO!L21,"")</f>
        <v/>
      </c>
      <c r="D24" s="273">
        <f>IF(A24&lt;&gt;"",""&amp;DATA_EO!B21,"")</f>
        <v/>
      </c>
      <c r="E24" s="273">
        <f>IF(A24&lt;&gt;"",""&amp;DATA_EO!G21,"")</f>
        <v/>
      </c>
      <c r="F24" s="273">
        <f>IF(A24&lt;&gt;"",""&amp;DATA_EO!K21,"")</f>
        <v/>
      </c>
      <c r="G24" s="273">
        <f>IF(A24&lt;&gt;"",""&amp;DATA_EO!J21,"")</f>
        <v/>
      </c>
      <c r="H24" s="273">
        <f>IF(A24&lt;&gt;"",""&amp;DATA_EO!M21,"")</f>
        <v/>
      </c>
    </row>
    <row r="25">
      <c r="A25" s="273">
        <f>IF(DATA_EO!A22&lt;&gt;"",""&amp;DATA_EO!A22,"")</f>
        <v/>
      </c>
      <c r="B25" s="273">
        <f>IF(A25&lt;&gt;"","EO","")</f>
        <v/>
      </c>
      <c r="C25" s="273">
        <f>IF(A25&lt;&gt;"",""&amp;DATA_EO!L22,"")</f>
        <v/>
      </c>
      <c r="D25" s="273">
        <f>IF(A25&lt;&gt;"",""&amp;DATA_EO!B22,"")</f>
        <v/>
      </c>
      <c r="E25" s="273">
        <f>IF(A25&lt;&gt;"",""&amp;DATA_EO!G22,"")</f>
        <v/>
      </c>
      <c r="F25" s="273">
        <f>IF(A25&lt;&gt;"",""&amp;DATA_EO!K22,"")</f>
        <v/>
      </c>
      <c r="G25" s="273">
        <f>IF(A25&lt;&gt;"",""&amp;DATA_EO!J22,"")</f>
        <v/>
      </c>
      <c r="H25" s="273">
        <f>IF(A25&lt;&gt;"",""&amp;DATA_EO!M22,"")</f>
        <v/>
      </c>
    </row>
    <row r="26">
      <c r="A26" s="273">
        <f>IF(DATA_EO!A23&lt;&gt;"",""&amp;DATA_EO!A23,"")</f>
        <v/>
      </c>
      <c r="B26" s="273">
        <f>IF(A26&lt;&gt;"","EO","")</f>
        <v/>
      </c>
      <c r="C26" s="273">
        <f>IF(A26&lt;&gt;"",""&amp;DATA_EO!L23,"")</f>
        <v/>
      </c>
      <c r="D26" s="273">
        <f>IF(A26&lt;&gt;"",""&amp;DATA_EO!B23,"")</f>
        <v/>
      </c>
      <c r="E26" s="273">
        <f>IF(A26&lt;&gt;"",""&amp;DATA_EO!G23,"")</f>
        <v/>
      </c>
      <c r="F26" s="273">
        <f>IF(A26&lt;&gt;"",""&amp;DATA_EO!K23,"")</f>
        <v/>
      </c>
      <c r="G26" s="273">
        <f>IF(A26&lt;&gt;"",""&amp;DATA_EO!J23,"")</f>
        <v/>
      </c>
      <c r="H26" s="273">
        <f>IF(A26&lt;&gt;"",""&amp;DATA_EO!M23,"")</f>
        <v/>
      </c>
    </row>
    <row r="27">
      <c r="A27" s="273">
        <f>IF(DATA_EO!A24&lt;&gt;"",""&amp;DATA_EO!A24,"")</f>
        <v/>
      </c>
      <c r="B27" s="273">
        <f>IF(A27&lt;&gt;"","EO","")</f>
        <v/>
      </c>
      <c r="C27" s="273">
        <f>IF(A27&lt;&gt;"",""&amp;DATA_EO!L24,"")</f>
        <v/>
      </c>
      <c r="D27" s="273">
        <f>IF(A27&lt;&gt;"",""&amp;DATA_EO!B24,"")</f>
        <v/>
      </c>
      <c r="E27" s="273">
        <f>IF(A27&lt;&gt;"",""&amp;DATA_EO!G24,"")</f>
        <v/>
      </c>
      <c r="F27" s="273">
        <f>IF(A27&lt;&gt;"",""&amp;DATA_EO!K24,"")</f>
        <v/>
      </c>
      <c r="G27" s="273">
        <f>IF(A27&lt;&gt;"",""&amp;DATA_EO!J24,"")</f>
        <v/>
      </c>
      <c r="H27" s="273">
        <f>IF(A27&lt;&gt;"",""&amp;DATA_EO!M24,"")</f>
        <v/>
      </c>
    </row>
    <row r="28">
      <c r="A28" s="273">
        <f>IF(DATA_EO!A25&lt;&gt;"",""&amp;DATA_EO!A25,"")</f>
        <v/>
      </c>
      <c r="B28" s="273">
        <f>IF(A28&lt;&gt;"","EO","")</f>
        <v/>
      </c>
      <c r="C28" s="273">
        <f>IF(A28&lt;&gt;"",""&amp;DATA_EO!L25,"")</f>
        <v/>
      </c>
      <c r="D28" s="273">
        <f>IF(A28&lt;&gt;"",""&amp;DATA_EO!B25,"")</f>
        <v/>
      </c>
      <c r="E28" s="273">
        <f>IF(A28&lt;&gt;"",""&amp;DATA_EO!G25,"")</f>
        <v/>
      </c>
      <c r="F28" s="273">
        <f>IF(A28&lt;&gt;"",""&amp;DATA_EO!K25,"")</f>
        <v/>
      </c>
      <c r="G28" s="273">
        <f>IF(A28&lt;&gt;"",""&amp;DATA_EO!J25,"")</f>
        <v/>
      </c>
      <c r="H28" s="273">
        <f>IF(A28&lt;&gt;"",""&amp;DATA_EO!M25,"")</f>
        <v/>
      </c>
    </row>
    <row r="29">
      <c r="A29" s="273">
        <f>IF(DATA_EO!A26&lt;&gt;"",""&amp;DATA_EO!A26,"")</f>
        <v/>
      </c>
      <c r="B29" s="273">
        <f>IF(A29&lt;&gt;"","EO","")</f>
        <v/>
      </c>
      <c r="C29" s="273">
        <f>IF(A29&lt;&gt;"",""&amp;DATA_EO!L26,"")</f>
        <v/>
      </c>
      <c r="D29" s="273">
        <f>IF(A29&lt;&gt;"",""&amp;DATA_EO!B26,"")</f>
        <v/>
      </c>
      <c r="E29" s="273">
        <f>IF(A29&lt;&gt;"",""&amp;DATA_EO!G26,"")</f>
        <v/>
      </c>
      <c r="F29" s="273">
        <f>IF(A29&lt;&gt;"",""&amp;DATA_EO!K26,"")</f>
        <v/>
      </c>
      <c r="G29" s="273">
        <f>IF(A29&lt;&gt;"",""&amp;DATA_EO!J26,"")</f>
        <v/>
      </c>
      <c r="H29" s="273">
        <f>IF(A29&lt;&gt;"",""&amp;DATA_EO!M26,"")</f>
        <v/>
      </c>
    </row>
    <row r="30">
      <c r="A30" s="273">
        <f>IF(DATA_EO!A27&lt;&gt;"",""&amp;DATA_EO!A27,"")</f>
        <v/>
      </c>
      <c r="B30" s="273">
        <f>IF(A30&lt;&gt;"","EO","")</f>
        <v/>
      </c>
      <c r="C30" s="273">
        <f>IF(A30&lt;&gt;"",""&amp;DATA_EO!L27,"")</f>
        <v/>
      </c>
      <c r="D30" s="273">
        <f>IF(A30&lt;&gt;"",""&amp;DATA_EO!B27,"")</f>
        <v/>
      </c>
      <c r="E30" s="273">
        <f>IF(A30&lt;&gt;"",""&amp;DATA_EO!G27,"")</f>
        <v/>
      </c>
      <c r="F30" s="273">
        <f>IF(A30&lt;&gt;"",""&amp;DATA_EO!K27,"")</f>
        <v/>
      </c>
      <c r="G30" s="273">
        <f>IF(A30&lt;&gt;"",""&amp;DATA_EO!J27,"")</f>
        <v/>
      </c>
      <c r="H30" s="273">
        <f>IF(A30&lt;&gt;"",""&amp;DATA_EO!M27,"")</f>
        <v/>
      </c>
    </row>
    <row r="31">
      <c r="A31" s="273">
        <f>IF(DATA_EO!A28&lt;&gt;"",""&amp;DATA_EO!A28,"")</f>
        <v/>
      </c>
      <c r="B31" s="273">
        <f>IF(A31&lt;&gt;"","EO","")</f>
        <v/>
      </c>
      <c r="C31" s="273">
        <f>IF(A31&lt;&gt;"",""&amp;DATA_EO!L28,"")</f>
        <v/>
      </c>
      <c r="D31" s="273">
        <f>IF(A31&lt;&gt;"",""&amp;DATA_EO!B28,"")</f>
        <v/>
      </c>
      <c r="E31" s="273">
        <f>IF(A31&lt;&gt;"",""&amp;DATA_EO!G28,"")</f>
        <v/>
      </c>
      <c r="F31" s="273">
        <f>IF(A31&lt;&gt;"",""&amp;DATA_EO!K28,"")</f>
        <v/>
      </c>
      <c r="G31" s="273">
        <f>IF(A31&lt;&gt;"",""&amp;DATA_EO!J28,"")</f>
        <v/>
      </c>
      <c r="H31" s="273">
        <f>IF(A31&lt;&gt;"",""&amp;DATA_EO!M28,"")</f>
        <v/>
      </c>
    </row>
    <row r="32">
      <c r="A32" s="273">
        <f>IF(DATA_EO!A29&lt;&gt;"",""&amp;DATA_EO!A29,"")</f>
        <v/>
      </c>
      <c r="B32" s="273">
        <f>IF(A32&lt;&gt;"","EO","")</f>
        <v/>
      </c>
      <c r="C32" s="273">
        <f>IF(A32&lt;&gt;"",""&amp;DATA_EO!L29,"")</f>
        <v/>
      </c>
      <c r="D32" s="273">
        <f>IF(A32&lt;&gt;"",""&amp;DATA_EO!B29,"")</f>
        <v/>
      </c>
      <c r="E32" s="273">
        <f>IF(A32&lt;&gt;"",""&amp;DATA_EO!G29,"")</f>
        <v/>
      </c>
      <c r="F32" s="273">
        <f>IF(A32&lt;&gt;"",""&amp;DATA_EO!K29,"")</f>
        <v/>
      </c>
      <c r="G32" s="273">
        <f>IF(A32&lt;&gt;"",""&amp;DATA_EO!J29,"")</f>
        <v/>
      </c>
      <c r="H32" s="273">
        <f>IF(A32&lt;&gt;"",""&amp;DATA_EO!M29,"")</f>
        <v/>
      </c>
    </row>
    <row r="33">
      <c r="A33" s="273">
        <f>IF(DATA_EO!A30&lt;&gt;"",""&amp;DATA_EO!A30,"")</f>
        <v/>
      </c>
      <c r="B33" s="273">
        <f>IF(A33&lt;&gt;"","EO","")</f>
        <v/>
      </c>
      <c r="C33" s="273">
        <f>IF(A33&lt;&gt;"",""&amp;DATA_EO!L30,"")</f>
        <v/>
      </c>
      <c r="D33" s="273">
        <f>IF(A33&lt;&gt;"",""&amp;DATA_EO!B30,"")</f>
        <v/>
      </c>
      <c r="E33" s="273">
        <f>IF(A33&lt;&gt;"",""&amp;DATA_EO!G30,"")</f>
        <v/>
      </c>
      <c r="F33" s="273">
        <f>IF(A33&lt;&gt;"",""&amp;DATA_EO!K30,"")</f>
        <v/>
      </c>
      <c r="G33" s="273">
        <f>IF(A33&lt;&gt;"",""&amp;DATA_EO!J30,"")</f>
        <v/>
      </c>
      <c r="H33" s="273">
        <f>IF(A33&lt;&gt;"",""&amp;DATA_EO!M30,"")</f>
        <v/>
      </c>
    </row>
    <row r="34">
      <c r="A34" s="273">
        <f>IF(DATA_EO!A31&lt;&gt;"",""&amp;DATA_EO!A31,"")</f>
        <v/>
      </c>
      <c r="B34" s="273">
        <f>IF(A34&lt;&gt;"","EO","")</f>
        <v/>
      </c>
      <c r="C34" s="273">
        <f>IF(A34&lt;&gt;"",""&amp;DATA_EO!L31,"")</f>
        <v/>
      </c>
      <c r="D34" s="273">
        <f>IF(A34&lt;&gt;"",""&amp;DATA_EO!B31,"")</f>
        <v/>
      </c>
      <c r="E34" s="273">
        <f>IF(A34&lt;&gt;"",""&amp;DATA_EO!G31,"")</f>
        <v/>
      </c>
      <c r="F34" s="273">
        <f>IF(A34&lt;&gt;"",""&amp;DATA_EO!K31,"")</f>
        <v/>
      </c>
      <c r="G34" s="273">
        <f>IF(A34&lt;&gt;"",""&amp;DATA_EO!J31,"")</f>
        <v/>
      </c>
      <c r="H34" s="273">
        <f>IF(A34&lt;&gt;"",""&amp;DATA_EO!M31,"")</f>
        <v/>
      </c>
    </row>
    <row r="35">
      <c r="A35" s="273">
        <f>IF(DATA_EO!A32&lt;&gt;"",""&amp;DATA_EO!A32,"")</f>
        <v/>
      </c>
      <c r="B35" s="273">
        <f>IF(A35&lt;&gt;"","EO","")</f>
        <v/>
      </c>
      <c r="C35" s="273">
        <f>IF(A35&lt;&gt;"",""&amp;DATA_EO!L32,"")</f>
        <v/>
      </c>
      <c r="D35" s="273">
        <f>IF(A35&lt;&gt;"",""&amp;DATA_EO!B32,"")</f>
        <v/>
      </c>
      <c r="E35" s="273">
        <f>IF(A35&lt;&gt;"",""&amp;DATA_EO!G32,"")</f>
        <v/>
      </c>
      <c r="F35" s="273">
        <f>IF(A35&lt;&gt;"",""&amp;DATA_EO!K32,"")</f>
        <v/>
      </c>
      <c r="G35" s="273">
        <f>IF(A35&lt;&gt;"",""&amp;DATA_EO!J32,"")</f>
        <v/>
      </c>
      <c r="H35" s="273">
        <f>IF(A35&lt;&gt;"",""&amp;DATA_EO!M32,"")</f>
        <v/>
      </c>
    </row>
    <row r="36">
      <c r="A36" s="273">
        <f>IF(DATA_EO!A33&lt;&gt;"",""&amp;DATA_EO!A33,"")</f>
        <v/>
      </c>
      <c r="B36" s="273">
        <f>IF(A36&lt;&gt;"","EO","")</f>
        <v/>
      </c>
      <c r="C36" s="273">
        <f>IF(A36&lt;&gt;"",""&amp;DATA_EO!L33,"")</f>
        <v/>
      </c>
      <c r="D36" s="273">
        <f>IF(A36&lt;&gt;"",""&amp;DATA_EO!B33,"")</f>
        <v/>
      </c>
      <c r="E36" s="273">
        <f>IF(A36&lt;&gt;"",""&amp;DATA_EO!G33,"")</f>
        <v/>
      </c>
      <c r="F36" s="273">
        <f>IF(A36&lt;&gt;"",""&amp;DATA_EO!K33,"")</f>
        <v/>
      </c>
      <c r="G36" s="273">
        <f>IF(A36&lt;&gt;"",""&amp;DATA_EO!J33,"")</f>
        <v/>
      </c>
      <c r="H36" s="273">
        <f>IF(A36&lt;&gt;"",""&amp;DATA_EO!M33,"")</f>
        <v/>
      </c>
    </row>
    <row r="37">
      <c r="A37" s="273">
        <f>IF(DATA_EO!A34&lt;&gt;"",""&amp;DATA_EO!A34,"")</f>
        <v/>
      </c>
      <c r="B37" s="273">
        <f>IF(A37&lt;&gt;"","EO","")</f>
        <v/>
      </c>
      <c r="C37" s="273">
        <f>IF(A37&lt;&gt;"",""&amp;DATA_EO!L34,"")</f>
        <v/>
      </c>
      <c r="D37" s="273">
        <f>IF(A37&lt;&gt;"",""&amp;DATA_EO!B34,"")</f>
        <v/>
      </c>
      <c r="E37" s="273">
        <f>IF(A37&lt;&gt;"",""&amp;DATA_EO!G34,"")</f>
        <v/>
      </c>
      <c r="F37" s="273">
        <f>IF(A37&lt;&gt;"",""&amp;DATA_EO!K34,"")</f>
        <v/>
      </c>
      <c r="G37" s="273">
        <f>IF(A37&lt;&gt;"",""&amp;DATA_EO!J34,"")</f>
        <v/>
      </c>
      <c r="H37" s="273">
        <f>IF(A37&lt;&gt;"",""&amp;DATA_EO!M34,"")</f>
        <v/>
      </c>
    </row>
    <row r="38">
      <c r="A38" s="273">
        <f>IF(DATA_EO!A35&lt;&gt;"",""&amp;DATA_EO!A35,"")</f>
        <v/>
      </c>
      <c r="B38" s="273">
        <f>IF(A38&lt;&gt;"","EO","")</f>
        <v/>
      </c>
      <c r="C38" s="273">
        <f>IF(A38&lt;&gt;"",""&amp;DATA_EO!L35,"")</f>
        <v/>
      </c>
      <c r="D38" s="273">
        <f>IF(A38&lt;&gt;"",""&amp;DATA_EO!B35,"")</f>
        <v/>
      </c>
      <c r="E38" s="273">
        <f>IF(A38&lt;&gt;"",""&amp;DATA_EO!G35,"")</f>
        <v/>
      </c>
      <c r="F38" s="273">
        <f>IF(A38&lt;&gt;"",""&amp;DATA_EO!K35,"")</f>
        <v/>
      </c>
      <c r="G38" s="273">
        <f>IF(A38&lt;&gt;"",""&amp;DATA_EO!J35,"")</f>
        <v/>
      </c>
      <c r="H38" s="273">
        <f>IF(A38&lt;&gt;"",""&amp;DATA_EO!M35,"")</f>
        <v/>
      </c>
    </row>
    <row r="39">
      <c r="A39" s="273">
        <f>IF(DATA_EO!A36&lt;&gt;"",""&amp;DATA_EO!A36,"")</f>
        <v/>
      </c>
      <c r="B39" s="273">
        <f>IF(A39&lt;&gt;"","EO","")</f>
        <v/>
      </c>
      <c r="C39" s="273">
        <f>IF(A39&lt;&gt;"",""&amp;DATA_EO!L36,"")</f>
        <v/>
      </c>
      <c r="D39" s="273">
        <f>IF(A39&lt;&gt;"",""&amp;DATA_EO!B36,"")</f>
        <v/>
      </c>
      <c r="E39" s="273">
        <f>IF(A39&lt;&gt;"",""&amp;DATA_EO!G36,"")</f>
        <v/>
      </c>
      <c r="F39" s="273">
        <f>IF(A39&lt;&gt;"",""&amp;DATA_EO!K36,"")</f>
        <v/>
      </c>
      <c r="G39" s="273">
        <f>IF(A39&lt;&gt;"",""&amp;DATA_EO!J36,"")</f>
        <v/>
      </c>
      <c r="H39" s="273">
        <f>IF(A39&lt;&gt;"",""&amp;DATA_EO!M36,"")</f>
        <v/>
      </c>
    </row>
    <row r="40">
      <c r="A40" s="273">
        <f>IF(DATA_EO!A37&lt;&gt;"",""&amp;DATA_EO!A37,"")</f>
        <v/>
      </c>
      <c r="B40" s="273">
        <f>IF(A40&lt;&gt;"","EO","")</f>
        <v/>
      </c>
      <c r="C40" s="273">
        <f>IF(A40&lt;&gt;"",""&amp;DATA_EO!L37,"")</f>
        <v/>
      </c>
      <c r="D40" s="273">
        <f>IF(A40&lt;&gt;"",""&amp;DATA_EO!B37,"")</f>
        <v/>
      </c>
      <c r="E40" s="273">
        <f>IF(A40&lt;&gt;"",""&amp;DATA_EO!G37,"")</f>
        <v/>
      </c>
      <c r="F40" s="273">
        <f>IF(A40&lt;&gt;"",""&amp;DATA_EO!K37,"")</f>
        <v/>
      </c>
      <c r="G40" s="273">
        <f>IF(A40&lt;&gt;"",""&amp;DATA_EO!J37,"")</f>
        <v/>
      </c>
      <c r="H40" s="273">
        <f>IF(A40&lt;&gt;"",""&amp;DATA_EO!M37,"")</f>
        <v/>
      </c>
    </row>
    <row r="41">
      <c r="A41" s="273">
        <f>IF(DATA_EO!A38&lt;&gt;"",""&amp;DATA_EO!A38,"")</f>
        <v/>
      </c>
      <c r="B41" s="273">
        <f>IF(A41&lt;&gt;"","EO","")</f>
        <v/>
      </c>
      <c r="C41" s="273">
        <f>IF(A41&lt;&gt;"",""&amp;DATA_EO!L38,"")</f>
        <v/>
      </c>
      <c r="D41" s="273">
        <f>IF(A41&lt;&gt;"",""&amp;DATA_EO!B38,"")</f>
        <v/>
      </c>
      <c r="E41" s="273">
        <f>IF(A41&lt;&gt;"",""&amp;DATA_EO!G38,"")</f>
        <v/>
      </c>
      <c r="F41" s="273">
        <f>IF(A41&lt;&gt;"",""&amp;DATA_EO!K38,"")</f>
        <v/>
      </c>
      <c r="G41" s="273">
        <f>IF(A41&lt;&gt;"",""&amp;DATA_EO!J38,"")</f>
        <v/>
      </c>
      <c r="H41" s="273">
        <f>IF(A41&lt;&gt;"",""&amp;DATA_EO!M38,"")</f>
        <v/>
      </c>
    </row>
    <row r="42">
      <c r="A42" s="273">
        <f>IF(DATA_EO!A39&lt;&gt;"",""&amp;DATA_EO!A39,"")</f>
        <v/>
      </c>
      <c r="B42" s="273">
        <f>IF(A42&lt;&gt;"","EO","")</f>
        <v/>
      </c>
      <c r="C42" s="273">
        <f>IF(A42&lt;&gt;"",""&amp;DATA_EO!L39,"")</f>
        <v/>
      </c>
      <c r="D42" s="273">
        <f>IF(A42&lt;&gt;"",""&amp;DATA_EO!B39,"")</f>
        <v/>
      </c>
      <c r="E42" s="273">
        <f>IF(A42&lt;&gt;"",""&amp;DATA_EO!G39,"")</f>
        <v/>
      </c>
      <c r="F42" s="273">
        <f>IF(A42&lt;&gt;"",""&amp;DATA_EO!K39,"")</f>
        <v/>
      </c>
      <c r="G42" s="273">
        <f>IF(A42&lt;&gt;"",""&amp;DATA_EO!J39,"")</f>
        <v/>
      </c>
      <c r="H42" s="273">
        <f>IF(A42&lt;&gt;"",""&amp;DATA_EO!M39,"")</f>
        <v/>
      </c>
    </row>
    <row r="43">
      <c r="A43" s="273">
        <f>IF(DATA_EO!A40&lt;&gt;"",""&amp;DATA_EO!A40,"")</f>
        <v/>
      </c>
      <c r="B43" s="273">
        <f>IF(A43&lt;&gt;"","EO","")</f>
        <v/>
      </c>
      <c r="C43" s="273">
        <f>IF(A43&lt;&gt;"",""&amp;DATA_EO!L40,"")</f>
        <v/>
      </c>
      <c r="D43" s="273">
        <f>IF(A43&lt;&gt;"",""&amp;DATA_EO!B40,"")</f>
        <v/>
      </c>
      <c r="E43" s="273">
        <f>IF(A43&lt;&gt;"",""&amp;DATA_EO!G40,"")</f>
        <v/>
      </c>
      <c r="F43" s="273">
        <f>IF(A43&lt;&gt;"",""&amp;DATA_EO!K40,"")</f>
        <v/>
      </c>
      <c r="G43" s="273">
        <f>IF(A43&lt;&gt;"",""&amp;DATA_EO!J40,"")</f>
        <v/>
      </c>
      <c r="H43" s="273">
        <f>IF(A43&lt;&gt;"",""&amp;DATA_EO!M40,"")</f>
        <v/>
      </c>
    </row>
    <row r="44">
      <c r="A44" s="273">
        <f>IF(DATA_EO!A41&lt;&gt;"",""&amp;DATA_EO!A41,"")</f>
        <v/>
      </c>
      <c r="B44" s="273">
        <f>IF(A44&lt;&gt;"","EO","")</f>
        <v/>
      </c>
      <c r="C44" s="273">
        <f>IF(A44&lt;&gt;"",""&amp;DATA_EO!L41,"")</f>
        <v/>
      </c>
      <c r="D44" s="273">
        <f>IF(A44&lt;&gt;"",""&amp;DATA_EO!B41,"")</f>
        <v/>
      </c>
      <c r="E44" s="273">
        <f>IF(A44&lt;&gt;"",""&amp;DATA_EO!G41,"")</f>
        <v/>
      </c>
      <c r="F44" s="273">
        <f>IF(A44&lt;&gt;"",""&amp;DATA_EO!K41,"")</f>
        <v/>
      </c>
      <c r="G44" s="273">
        <f>IF(A44&lt;&gt;"",""&amp;DATA_EO!J41,"")</f>
        <v/>
      </c>
      <c r="H44" s="273">
        <f>IF(A44&lt;&gt;"",""&amp;DATA_EO!M41,"")</f>
        <v/>
      </c>
    </row>
    <row r="45">
      <c r="A45" s="273">
        <f>IF(DATA_EO!A42&lt;&gt;"",""&amp;DATA_EO!A42,"")</f>
        <v/>
      </c>
      <c r="B45" s="273">
        <f>IF(A45&lt;&gt;"","EO","")</f>
        <v/>
      </c>
      <c r="C45" s="273">
        <f>IF(A45&lt;&gt;"",""&amp;DATA_EO!L42,"")</f>
        <v/>
      </c>
      <c r="D45" s="273">
        <f>IF(A45&lt;&gt;"",""&amp;DATA_EO!B42,"")</f>
        <v/>
      </c>
      <c r="E45" s="273">
        <f>IF(A45&lt;&gt;"",""&amp;DATA_EO!G42,"")</f>
        <v/>
      </c>
      <c r="F45" s="273">
        <f>IF(A45&lt;&gt;"",""&amp;DATA_EO!K42,"")</f>
        <v/>
      </c>
      <c r="G45" s="273">
        <f>IF(A45&lt;&gt;"",""&amp;DATA_EO!J42,"")</f>
        <v/>
      </c>
      <c r="H45" s="273">
        <f>IF(A45&lt;&gt;"",""&amp;DATA_EO!M42,"")</f>
        <v/>
      </c>
    </row>
    <row r="46">
      <c r="A46" s="273">
        <f>IF(DATA_EO!A43&lt;&gt;"",""&amp;DATA_EO!A43,"")</f>
        <v/>
      </c>
      <c r="B46" s="273">
        <f>IF(A46&lt;&gt;"","EO","")</f>
        <v/>
      </c>
      <c r="C46" s="273">
        <f>IF(A46&lt;&gt;"",""&amp;DATA_EO!L43,"")</f>
        <v/>
      </c>
      <c r="D46" s="273">
        <f>IF(A46&lt;&gt;"",""&amp;DATA_EO!B43,"")</f>
        <v/>
      </c>
      <c r="E46" s="273">
        <f>IF(A46&lt;&gt;"",""&amp;DATA_EO!G43,"")</f>
        <v/>
      </c>
      <c r="F46" s="273">
        <f>IF(A46&lt;&gt;"",""&amp;DATA_EO!K43,"")</f>
        <v/>
      </c>
      <c r="G46" s="273">
        <f>IF(A46&lt;&gt;"",""&amp;DATA_EO!J43,"")</f>
        <v/>
      </c>
      <c r="H46" s="273">
        <f>IF(A46&lt;&gt;"",""&amp;DATA_EO!M43,"")</f>
        <v/>
      </c>
    </row>
    <row r="47">
      <c r="A47" s="273">
        <f>IF(DATA_EO!A44&lt;&gt;"",""&amp;DATA_EO!A44,"")</f>
        <v/>
      </c>
      <c r="B47" s="273">
        <f>IF(A47&lt;&gt;"","EO","")</f>
        <v/>
      </c>
      <c r="C47" s="273">
        <f>IF(A47&lt;&gt;"",""&amp;DATA_EO!L44,"")</f>
        <v/>
      </c>
      <c r="D47" s="273">
        <f>IF(A47&lt;&gt;"",""&amp;DATA_EO!B44,"")</f>
        <v/>
      </c>
      <c r="E47" s="273">
        <f>IF(A47&lt;&gt;"",""&amp;DATA_EO!G44,"")</f>
        <v/>
      </c>
      <c r="F47" s="273">
        <f>IF(A47&lt;&gt;"",""&amp;DATA_EO!K44,"")</f>
        <v/>
      </c>
      <c r="G47" s="273">
        <f>IF(A47&lt;&gt;"",""&amp;DATA_EO!J44,"")</f>
        <v/>
      </c>
      <c r="H47" s="273">
        <f>IF(A47&lt;&gt;"",""&amp;DATA_EO!M44,"")</f>
        <v/>
      </c>
    </row>
    <row r="48">
      <c r="A48" s="273">
        <f>IF(DATA_EO!A45&lt;&gt;"",""&amp;DATA_EO!A45,"")</f>
        <v/>
      </c>
      <c r="B48" s="273">
        <f>IF(A48&lt;&gt;"","EO","")</f>
        <v/>
      </c>
      <c r="C48" s="273">
        <f>IF(A48&lt;&gt;"",""&amp;DATA_EO!L45,"")</f>
        <v/>
      </c>
      <c r="D48" s="273">
        <f>IF(A48&lt;&gt;"",""&amp;DATA_EO!B45,"")</f>
        <v/>
      </c>
      <c r="E48" s="273">
        <f>IF(A48&lt;&gt;"",""&amp;DATA_EO!G45,"")</f>
        <v/>
      </c>
      <c r="F48" s="273">
        <f>IF(A48&lt;&gt;"",""&amp;DATA_EO!K45,"")</f>
        <v/>
      </c>
      <c r="G48" s="273">
        <f>IF(A48&lt;&gt;"",""&amp;DATA_EO!J45,"")</f>
        <v/>
      </c>
      <c r="H48" s="273">
        <f>IF(A48&lt;&gt;"",""&amp;DATA_EO!M45,"")</f>
        <v/>
      </c>
    </row>
    <row r="49">
      <c r="A49" s="273">
        <f>IF(DATA_EO!A46&lt;&gt;"",""&amp;DATA_EO!A46,"")</f>
        <v/>
      </c>
      <c r="B49" s="273">
        <f>IF(A49&lt;&gt;"","EO","")</f>
        <v/>
      </c>
      <c r="C49" s="273">
        <f>IF(A49&lt;&gt;"",""&amp;DATA_EO!L46,"")</f>
        <v/>
      </c>
      <c r="D49" s="273">
        <f>IF(A49&lt;&gt;"",""&amp;DATA_EO!B46,"")</f>
        <v/>
      </c>
      <c r="E49" s="273">
        <f>IF(A49&lt;&gt;"",""&amp;DATA_EO!G46,"")</f>
        <v/>
      </c>
      <c r="F49" s="273">
        <f>IF(A49&lt;&gt;"",""&amp;DATA_EO!K46,"")</f>
        <v/>
      </c>
      <c r="G49" s="273">
        <f>IF(A49&lt;&gt;"",""&amp;DATA_EO!J46,"")</f>
        <v/>
      </c>
      <c r="H49" s="273">
        <f>IF(A49&lt;&gt;"",""&amp;DATA_EO!M46,"")</f>
        <v/>
      </c>
    </row>
    <row r="50">
      <c r="A50" s="273">
        <f>IF(DATA_EO!A47&lt;&gt;"",""&amp;DATA_EO!A47,"")</f>
        <v/>
      </c>
      <c r="B50" s="273">
        <f>IF(A50&lt;&gt;"","EO","")</f>
        <v/>
      </c>
      <c r="C50" s="273">
        <f>IF(A50&lt;&gt;"",""&amp;DATA_EO!L47,"")</f>
        <v/>
      </c>
      <c r="D50" s="273">
        <f>IF(A50&lt;&gt;"",""&amp;DATA_EO!B47,"")</f>
        <v/>
      </c>
      <c r="E50" s="273">
        <f>IF(A50&lt;&gt;"",""&amp;DATA_EO!G47,"")</f>
        <v/>
      </c>
      <c r="F50" s="273">
        <f>IF(A50&lt;&gt;"",""&amp;DATA_EO!K47,"")</f>
        <v/>
      </c>
      <c r="G50" s="273">
        <f>IF(A50&lt;&gt;"",""&amp;DATA_EO!J47,"")</f>
        <v/>
      </c>
      <c r="H50" s="273">
        <f>IF(A50&lt;&gt;"",""&amp;DATA_EO!M47,"")</f>
        <v/>
      </c>
    </row>
    <row r="51">
      <c r="A51" s="273">
        <f>IF(DATA_EO!A48&lt;&gt;"",""&amp;DATA_EO!A48,"")</f>
        <v/>
      </c>
      <c r="B51" s="273">
        <f>IF(A51&lt;&gt;"","EO","")</f>
        <v/>
      </c>
      <c r="C51" s="273">
        <f>IF(A51&lt;&gt;"",""&amp;DATA_EO!L48,"")</f>
        <v/>
      </c>
      <c r="D51" s="273">
        <f>IF(A51&lt;&gt;"",""&amp;DATA_EO!B48,"")</f>
        <v/>
      </c>
      <c r="E51" s="273">
        <f>IF(A51&lt;&gt;"",""&amp;DATA_EO!G48,"")</f>
        <v/>
      </c>
      <c r="F51" s="273">
        <f>IF(A51&lt;&gt;"",""&amp;DATA_EO!K48,"")</f>
        <v/>
      </c>
      <c r="G51" s="273">
        <f>IF(A51&lt;&gt;"",""&amp;DATA_EO!J48,"")</f>
        <v/>
      </c>
      <c r="H51" s="273">
        <f>IF(A51&lt;&gt;"",""&amp;DATA_EO!M48,"")</f>
        <v/>
      </c>
    </row>
    <row r="52">
      <c r="A52" s="273">
        <f>IF(DATA_EO!A49&lt;&gt;"",""&amp;DATA_EO!A49,"")</f>
        <v/>
      </c>
      <c r="B52" s="273">
        <f>IF(A52&lt;&gt;"","EO","")</f>
        <v/>
      </c>
      <c r="C52" s="273">
        <f>IF(A52&lt;&gt;"",""&amp;DATA_EO!L49,"")</f>
        <v/>
      </c>
      <c r="D52" s="273">
        <f>IF(A52&lt;&gt;"",""&amp;DATA_EO!B49,"")</f>
        <v/>
      </c>
      <c r="E52" s="273">
        <f>IF(A52&lt;&gt;"",""&amp;DATA_EO!G49,"")</f>
        <v/>
      </c>
      <c r="F52" s="273">
        <f>IF(A52&lt;&gt;"",""&amp;DATA_EO!K49,"")</f>
        <v/>
      </c>
      <c r="G52" s="273">
        <f>IF(A52&lt;&gt;"",""&amp;DATA_EO!J49,"")</f>
        <v/>
      </c>
      <c r="H52" s="273">
        <f>IF(A52&lt;&gt;"",""&amp;DATA_EO!M49,"")</f>
        <v/>
      </c>
    </row>
    <row r="53">
      <c r="A53" s="273">
        <f>IF(DATA_EO!A50&lt;&gt;"",""&amp;DATA_EO!A50,"")</f>
        <v/>
      </c>
      <c r="B53" s="273">
        <f>IF(A53&lt;&gt;"","EO","")</f>
        <v/>
      </c>
      <c r="C53" s="273">
        <f>IF(A53&lt;&gt;"",""&amp;DATA_EO!L50,"")</f>
        <v/>
      </c>
      <c r="D53" s="273">
        <f>IF(A53&lt;&gt;"",""&amp;DATA_EO!B50,"")</f>
        <v/>
      </c>
      <c r="E53" s="273">
        <f>IF(A53&lt;&gt;"",""&amp;DATA_EO!G50,"")</f>
        <v/>
      </c>
      <c r="F53" s="273">
        <f>IF(A53&lt;&gt;"",""&amp;DATA_EO!K50,"")</f>
        <v/>
      </c>
      <c r="G53" s="273">
        <f>IF(A53&lt;&gt;"",""&amp;DATA_EO!J50,"")</f>
        <v/>
      </c>
      <c r="H53" s="273">
        <f>IF(A53&lt;&gt;"",""&amp;DATA_EO!M50,"")</f>
        <v/>
      </c>
    </row>
    <row r="54">
      <c r="A54" s="273">
        <f>IF(DATA_EO!A51&lt;&gt;"",""&amp;DATA_EO!A51,"")</f>
        <v/>
      </c>
      <c r="B54" s="273">
        <f>IF(A54&lt;&gt;"","EO","")</f>
        <v/>
      </c>
      <c r="C54" s="273">
        <f>IF(A54&lt;&gt;"",""&amp;DATA_EO!L51,"")</f>
        <v/>
      </c>
      <c r="D54" s="273">
        <f>IF(A54&lt;&gt;"",""&amp;DATA_EO!B51,"")</f>
        <v/>
      </c>
      <c r="E54" s="273">
        <f>IF(A54&lt;&gt;"",""&amp;DATA_EO!G51,"")</f>
        <v/>
      </c>
      <c r="F54" s="273">
        <f>IF(A54&lt;&gt;"",""&amp;DATA_EO!K51,"")</f>
        <v/>
      </c>
      <c r="G54" s="273">
        <f>IF(A54&lt;&gt;"",""&amp;DATA_EO!J51,"")</f>
        <v/>
      </c>
      <c r="H54" s="273">
        <f>IF(A54&lt;&gt;"",""&amp;DATA_EO!M51,"")</f>
        <v/>
      </c>
    </row>
    <row r="55">
      <c r="A55" s="273">
        <f>IF(DATA_EO!A52&lt;&gt;"",""&amp;DATA_EO!A52,"")</f>
        <v/>
      </c>
      <c r="B55" s="273">
        <f>IF(A55&lt;&gt;"","EO","")</f>
        <v/>
      </c>
      <c r="C55" s="273">
        <f>IF(A55&lt;&gt;"",""&amp;DATA_EO!L52,"")</f>
        <v/>
      </c>
      <c r="D55" s="273">
        <f>IF(A55&lt;&gt;"",""&amp;DATA_EO!B52,"")</f>
        <v/>
      </c>
      <c r="E55" s="273">
        <f>IF(A55&lt;&gt;"",""&amp;DATA_EO!G52,"")</f>
        <v/>
      </c>
      <c r="F55" s="273">
        <f>IF(A55&lt;&gt;"",""&amp;DATA_EO!K52,"")</f>
        <v/>
      </c>
      <c r="G55" s="273">
        <f>IF(A55&lt;&gt;"",""&amp;DATA_EO!J52,"")</f>
        <v/>
      </c>
      <c r="H55" s="273">
        <f>IF(A55&lt;&gt;"",""&amp;DATA_EO!M52,"")</f>
        <v/>
      </c>
    </row>
    <row r="56">
      <c r="A56" s="273">
        <f>IF(DATA_EO!A53&lt;&gt;"",""&amp;DATA_EO!A53,"")</f>
        <v/>
      </c>
      <c r="B56" s="273">
        <f>IF(A56&lt;&gt;"","EO","")</f>
        <v/>
      </c>
      <c r="C56" s="273">
        <f>IF(A56&lt;&gt;"",""&amp;DATA_EO!L53,"")</f>
        <v/>
      </c>
      <c r="D56" s="273">
        <f>IF(A56&lt;&gt;"",""&amp;DATA_EO!B53,"")</f>
        <v/>
      </c>
      <c r="E56" s="273">
        <f>IF(A56&lt;&gt;"",""&amp;DATA_EO!G53,"")</f>
        <v/>
      </c>
      <c r="F56" s="273">
        <f>IF(A56&lt;&gt;"",""&amp;DATA_EO!K53,"")</f>
        <v/>
      </c>
      <c r="G56" s="273">
        <f>IF(A56&lt;&gt;"",""&amp;DATA_EO!J53,"")</f>
        <v/>
      </c>
      <c r="H56" s="273">
        <f>IF(A56&lt;&gt;"",""&amp;DATA_EO!M53,"")</f>
        <v/>
      </c>
    </row>
    <row r="57">
      <c r="A57" s="273">
        <f>IF(DATA_EO!A54&lt;&gt;"",""&amp;DATA_EO!A54,"")</f>
        <v/>
      </c>
      <c r="B57" s="273">
        <f>IF(A57&lt;&gt;"","EO","")</f>
        <v/>
      </c>
      <c r="C57" s="273">
        <f>IF(A57&lt;&gt;"",""&amp;DATA_EO!L54,"")</f>
        <v/>
      </c>
      <c r="D57" s="273">
        <f>IF(A57&lt;&gt;"",""&amp;DATA_EO!B54,"")</f>
        <v/>
      </c>
      <c r="E57" s="273">
        <f>IF(A57&lt;&gt;"",""&amp;DATA_EO!G54,"")</f>
        <v/>
      </c>
      <c r="F57" s="273">
        <f>IF(A57&lt;&gt;"",""&amp;DATA_EO!K54,"")</f>
        <v/>
      </c>
      <c r="G57" s="273">
        <f>IF(A57&lt;&gt;"",""&amp;DATA_EO!J54,"")</f>
        <v/>
      </c>
      <c r="H57" s="273">
        <f>IF(A57&lt;&gt;"",""&amp;DATA_EO!M54,"")</f>
        <v/>
      </c>
    </row>
    <row r="58">
      <c r="A58" s="273">
        <f>IF(DATA_EO!A55&lt;&gt;"",""&amp;DATA_EO!A55,"")</f>
        <v/>
      </c>
      <c r="B58" s="273">
        <f>IF(A58&lt;&gt;"","EO","")</f>
        <v/>
      </c>
      <c r="C58" s="273">
        <f>IF(A58&lt;&gt;"",""&amp;DATA_EO!L55,"")</f>
        <v/>
      </c>
      <c r="D58" s="273">
        <f>IF(A58&lt;&gt;"",""&amp;DATA_EO!B55,"")</f>
        <v/>
      </c>
      <c r="E58" s="273">
        <f>IF(A58&lt;&gt;"",""&amp;DATA_EO!G55,"")</f>
        <v/>
      </c>
      <c r="F58" s="273">
        <f>IF(A58&lt;&gt;"",""&amp;DATA_EO!K55,"")</f>
        <v/>
      </c>
      <c r="G58" s="273">
        <f>IF(A58&lt;&gt;"",""&amp;DATA_EO!J55,"")</f>
        <v/>
      </c>
      <c r="H58" s="273">
        <f>IF(A58&lt;&gt;"",""&amp;DATA_EO!M55,"")</f>
        <v/>
      </c>
    </row>
    <row r="59">
      <c r="A59" s="273">
        <f>IF(DATA_EO!A56&lt;&gt;"",""&amp;DATA_EO!A56,"")</f>
        <v/>
      </c>
      <c r="B59" s="273">
        <f>IF(A59&lt;&gt;"","EO","")</f>
        <v/>
      </c>
      <c r="C59" s="273">
        <f>IF(A59&lt;&gt;"",""&amp;DATA_EO!L56,"")</f>
        <v/>
      </c>
      <c r="D59" s="273">
        <f>IF(A59&lt;&gt;"",""&amp;DATA_EO!B56,"")</f>
        <v/>
      </c>
      <c r="E59" s="273">
        <f>IF(A59&lt;&gt;"",""&amp;DATA_EO!G56,"")</f>
        <v/>
      </c>
      <c r="F59" s="273">
        <f>IF(A59&lt;&gt;"",""&amp;DATA_EO!K56,"")</f>
        <v/>
      </c>
      <c r="G59" s="273">
        <f>IF(A59&lt;&gt;"",""&amp;DATA_EO!J56,"")</f>
        <v/>
      </c>
      <c r="H59" s="273">
        <f>IF(A59&lt;&gt;"",""&amp;DATA_EO!M56,"")</f>
        <v/>
      </c>
    </row>
    <row r="60">
      <c r="A60" s="273">
        <f>IF(DATA_EO!A57&lt;&gt;"",""&amp;DATA_EO!A57,"")</f>
        <v/>
      </c>
      <c r="B60" s="273">
        <f>IF(A60&lt;&gt;"","EO","")</f>
        <v/>
      </c>
      <c r="C60" s="273">
        <f>IF(A60&lt;&gt;"",""&amp;DATA_EO!L57,"")</f>
        <v/>
      </c>
      <c r="D60" s="273">
        <f>IF(A60&lt;&gt;"",""&amp;DATA_EO!B57,"")</f>
        <v/>
      </c>
      <c r="E60" s="273">
        <f>IF(A60&lt;&gt;"",""&amp;DATA_EO!G57,"")</f>
        <v/>
      </c>
      <c r="F60" s="273">
        <f>IF(A60&lt;&gt;"",""&amp;DATA_EO!K57,"")</f>
        <v/>
      </c>
      <c r="G60" s="273">
        <f>IF(A60&lt;&gt;"",""&amp;DATA_EO!J57,"")</f>
        <v/>
      </c>
      <c r="H60" s="273">
        <f>IF(A60&lt;&gt;"",""&amp;DATA_EO!M57,"")</f>
        <v/>
      </c>
    </row>
    <row r="61">
      <c r="A61" s="273">
        <f>IF(DATA_EO!A58&lt;&gt;"",""&amp;DATA_EO!A58,"")</f>
        <v/>
      </c>
      <c r="B61" s="273">
        <f>IF(A61&lt;&gt;"","EO","")</f>
        <v/>
      </c>
      <c r="C61" s="273">
        <f>IF(A61&lt;&gt;"",""&amp;DATA_EO!L58,"")</f>
        <v/>
      </c>
      <c r="D61" s="273">
        <f>IF(A61&lt;&gt;"",""&amp;DATA_EO!B58,"")</f>
        <v/>
      </c>
      <c r="E61" s="273">
        <f>IF(A61&lt;&gt;"",""&amp;DATA_EO!G58,"")</f>
        <v/>
      </c>
      <c r="F61" s="273">
        <f>IF(A61&lt;&gt;"",""&amp;DATA_EO!K58,"")</f>
        <v/>
      </c>
      <c r="G61" s="273">
        <f>IF(A61&lt;&gt;"",""&amp;DATA_EO!J58,"")</f>
        <v/>
      </c>
      <c r="H61" s="273">
        <f>IF(A61&lt;&gt;"",""&amp;DATA_EO!M58,"")</f>
        <v/>
      </c>
    </row>
    <row r="62">
      <c r="A62" s="273">
        <f>IF(DATA_EO!A59&lt;&gt;"",""&amp;DATA_EO!A59,"")</f>
        <v/>
      </c>
      <c r="B62" s="273">
        <f>IF(A62&lt;&gt;"","EO","")</f>
        <v/>
      </c>
      <c r="C62" s="273">
        <f>IF(A62&lt;&gt;"",""&amp;DATA_EO!L59,"")</f>
        <v/>
      </c>
      <c r="D62" s="273">
        <f>IF(A62&lt;&gt;"",""&amp;DATA_EO!B59,"")</f>
        <v/>
      </c>
      <c r="E62" s="273">
        <f>IF(A62&lt;&gt;"",""&amp;DATA_EO!G59,"")</f>
        <v/>
      </c>
      <c r="F62" s="273">
        <f>IF(A62&lt;&gt;"",""&amp;DATA_EO!K59,"")</f>
        <v/>
      </c>
      <c r="G62" s="273">
        <f>IF(A62&lt;&gt;"",""&amp;DATA_EO!J59,"")</f>
        <v/>
      </c>
      <c r="H62" s="273">
        <f>IF(A62&lt;&gt;"",""&amp;DATA_EO!M59,"")</f>
        <v/>
      </c>
    </row>
    <row r="63">
      <c r="A63" s="273">
        <f>IF(DATA_EO!A60&lt;&gt;"",""&amp;DATA_EO!A60,"")</f>
        <v/>
      </c>
      <c r="B63" s="273">
        <f>IF(A63&lt;&gt;"","EO","")</f>
        <v/>
      </c>
      <c r="C63" s="273">
        <f>IF(A63&lt;&gt;"",""&amp;DATA_EO!L60,"")</f>
        <v/>
      </c>
      <c r="D63" s="273">
        <f>IF(A63&lt;&gt;"",""&amp;DATA_EO!B60,"")</f>
        <v/>
      </c>
      <c r="E63" s="273">
        <f>IF(A63&lt;&gt;"",""&amp;DATA_EO!G60,"")</f>
        <v/>
      </c>
      <c r="F63" s="273">
        <f>IF(A63&lt;&gt;"",""&amp;DATA_EO!K60,"")</f>
        <v/>
      </c>
      <c r="G63" s="273">
        <f>IF(A63&lt;&gt;"",""&amp;DATA_EO!J60,"")</f>
        <v/>
      </c>
      <c r="H63" s="273">
        <f>IF(A63&lt;&gt;"",""&amp;DATA_EO!M60,"")</f>
        <v/>
      </c>
    </row>
    <row r="64">
      <c r="A64" s="273">
        <f>IF(DATA_EO!A61&lt;&gt;"",""&amp;DATA_EO!A61,"")</f>
        <v/>
      </c>
      <c r="B64" s="273">
        <f>IF(A64&lt;&gt;"","EO","")</f>
        <v/>
      </c>
      <c r="C64" s="273">
        <f>IF(A64&lt;&gt;"",""&amp;DATA_EO!L61,"")</f>
        <v/>
      </c>
      <c r="D64" s="273">
        <f>IF(A64&lt;&gt;"",""&amp;DATA_EO!B61,"")</f>
        <v/>
      </c>
      <c r="E64" s="273">
        <f>IF(A64&lt;&gt;"",""&amp;DATA_EO!G61,"")</f>
        <v/>
      </c>
      <c r="F64" s="273">
        <f>IF(A64&lt;&gt;"",""&amp;DATA_EO!K61,"")</f>
        <v/>
      </c>
      <c r="G64" s="273">
        <f>IF(A64&lt;&gt;"",""&amp;DATA_EO!J61,"")</f>
        <v/>
      </c>
      <c r="H64" s="273">
        <f>IF(A64&lt;&gt;"",""&amp;DATA_EO!M61,"")</f>
        <v/>
      </c>
    </row>
    <row r="65">
      <c r="A65" s="273">
        <f>IF(DATA_EO!A62&lt;&gt;"",""&amp;DATA_EO!A62,"")</f>
        <v/>
      </c>
      <c r="B65" s="273">
        <f>IF(A65&lt;&gt;"","EO","")</f>
        <v/>
      </c>
      <c r="C65" s="273">
        <f>IF(A65&lt;&gt;"",""&amp;DATA_EO!L62,"")</f>
        <v/>
      </c>
      <c r="D65" s="273">
        <f>IF(A65&lt;&gt;"",""&amp;DATA_EO!B62,"")</f>
        <v/>
      </c>
      <c r="E65" s="273">
        <f>IF(A65&lt;&gt;"",""&amp;DATA_EO!G62,"")</f>
        <v/>
      </c>
      <c r="F65" s="273">
        <f>IF(A65&lt;&gt;"",""&amp;DATA_EO!K62,"")</f>
        <v/>
      </c>
      <c r="G65" s="273">
        <f>IF(A65&lt;&gt;"",""&amp;DATA_EO!J62,"")</f>
        <v/>
      </c>
      <c r="H65" s="273">
        <f>IF(A65&lt;&gt;"",""&amp;DATA_EO!M62,"")</f>
        <v/>
      </c>
    </row>
    <row r="66">
      <c r="A66" s="273">
        <f>IF(DATA_EO!A63&lt;&gt;"",""&amp;DATA_EO!A63,"")</f>
        <v/>
      </c>
      <c r="B66" s="273">
        <f>IF(A66&lt;&gt;"","EO","")</f>
        <v/>
      </c>
      <c r="C66" s="273">
        <f>IF(A66&lt;&gt;"",""&amp;DATA_EO!L63,"")</f>
        <v/>
      </c>
      <c r="D66" s="273">
        <f>IF(A66&lt;&gt;"",""&amp;DATA_EO!B63,"")</f>
        <v/>
      </c>
      <c r="E66" s="273">
        <f>IF(A66&lt;&gt;"",""&amp;DATA_EO!G63,"")</f>
        <v/>
      </c>
      <c r="F66" s="273">
        <f>IF(A66&lt;&gt;"",""&amp;DATA_EO!K63,"")</f>
        <v/>
      </c>
      <c r="G66" s="273">
        <f>IF(A66&lt;&gt;"",""&amp;DATA_EO!J63,"")</f>
        <v/>
      </c>
      <c r="H66" s="273">
        <f>IF(A66&lt;&gt;"",""&amp;DATA_EO!M63,"")</f>
        <v/>
      </c>
    </row>
    <row r="67">
      <c r="A67" s="273">
        <f>IF(DATA_EO!A64&lt;&gt;"",""&amp;DATA_EO!A64,"")</f>
        <v/>
      </c>
      <c r="B67" s="273">
        <f>IF(A67&lt;&gt;"","EO","")</f>
        <v/>
      </c>
      <c r="C67" s="273">
        <f>IF(A67&lt;&gt;"",""&amp;DATA_EO!L64,"")</f>
        <v/>
      </c>
      <c r="D67" s="273">
        <f>IF(A67&lt;&gt;"",""&amp;DATA_EO!B64,"")</f>
        <v/>
      </c>
      <c r="E67" s="273">
        <f>IF(A67&lt;&gt;"",""&amp;DATA_EO!G64,"")</f>
        <v/>
      </c>
      <c r="F67" s="273">
        <f>IF(A67&lt;&gt;"",""&amp;DATA_EO!K64,"")</f>
        <v/>
      </c>
      <c r="G67" s="273">
        <f>IF(A67&lt;&gt;"",""&amp;DATA_EO!J64,"")</f>
        <v/>
      </c>
      <c r="H67" s="273">
        <f>IF(A67&lt;&gt;"",""&amp;DATA_EO!M64,"")</f>
        <v/>
      </c>
    </row>
    <row r="68">
      <c r="A68" s="273">
        <f>IF(DATA_EO!A65&lt;&gt;"",""&amp;DATA_EO!A65,"")</f>
        <v/>
      </c>
      <c r="B68" s="273">
        <f>IF(A68&lt;&gt;"","EO","")</f>
        <v/>
      </c>
      <c r="C68" s="273">
        <f>IF(A68&lt;&gt;"",""&amp;DATA_EO!L65,"")</f>
        <v/>
      </c>
      <c r="D68" s="273">
        <f>IF(A68&lt;&gt;"",""&amp;DATA_EO!B65,"")</f>
        <v/>
      </c>
      <c r="E68" s="273">
        <f>IF(A68&lt;&gt;"",""&amp;DATA_EO!G65,"")</f>
        <v/>
      </c>
      <c r="F68" s="273">
        <f>IF(A68&lt;&gt;"",""&amp;DATA_EO!K65,"")</f>
        <v/>
      </c>
      <c r="G68" s="273">
        <f>IF(A68&lt;&gt;"",""&amp;DATA_EO!J65,"")</f>
        <v/>
      </c>
      <c r="H68" s="273">
        <f>IF(A68&lt;&gt;"",""&amp;DATA_EO!M65,"")</f>
        <v/>
      </c>
    </row>
    <row r="69">
      <c r="A69" s="273">
        <f>IF(DATA_EO!A66&lt;&gt;"",""&amp;DATA_EO!A66,"")</f>
        <v/>
      </c>
      <c r="B69" s="273">
        <f>IF(A69&lt;&gt;"","EO","")</f>
        <v/>
      </c>
      <c r="C69" s="273">
        <f>IF(A69&lt;&gt;"",""&amp;DATA_EO!L66,"")</f>
        <v/>
      </c>
      <c r="D69" s="273">
        <f>IF(A69&lt;&gt;"",""&amp;DATA_EO!B66,"")</f>
        <v/>
      </c>
      <c r="E69" s="273">
        <f>IF(A69&lt;&gt;"",""&amp;DATA_EO!G66,"")</f>
        <v/>
      </c>
      <c r="F69" s="273">
        <f>IF(A69&lt;&gt;"",""&amp;DATA_EO!K66,"")</f>
        <v/>
      </c>
      <c r="G69" s="273">
        <f>IF(A69&lt;&gt;"",""&amp;DATA_EO!J66,"")</f>
        <v/>
      </c>
      <c r="H69" s="273">
        <f>IF(A69&lt;&gt;"",""&amp;DATA_EO!M66,"")</f>
        <v/>
      </c>
    </row>
    <row r="70">
      <c r="A70" s="273">
        <f>IF(DATA_EO!A67&lt;&gt;"",""&amp;DATA_EO!A67,"")</f>
        <v/>
      </c>
      <c r="B70" s="273">
        <f>IF(A70&lt;&gt;"","EO","")</f>
        <v/>
      </c>
      <c r="C70" s="273">
        <f>IF(A70&lt;&gt;"",""&amp;DATA_EO!L67,"")</f>
        <v/>
      </c>
      <c r="D70" s="273">
        <f>IF(A70&lt;&gt;"",""&amp;DATA_EO!B67,"")</f>
        <v/>
      </c>
      <c r="E70" s="273">
        <f>IF(A70&lt;&gt;"",""&amp;DATA_EO!G67,"")</f>
        <v/>
      </c>
      <c r="F70" s="273">
        <f>IF(A70&lt;&gt;"",""&amp;DATA_EO!K67,"")</f>
        <v/>
      </c>
      <c r="G70" s="273">
        <f>IF(A70&lt;&gt;"",""&amp;DATA_EO!J67,"")</f>
        <v/>
      </c>
      <c r="H70" s="273">
        <f>IF(A70&lt;&gt;"",""&amp;DATA_EO!M67,"")</f>
        <v/>
      </c>
    </row>
    <row r="71">
      <c r="A71" s="273">
        <f>IF(DATA_EO!A68&lt;&gt;"",""&amp;DATA_EO!A68,"")</f>
        <v/>
      </c>
      <c r="B71" s="273">
        <f>IF(A71&lt;&gt;"","EO","")</f>
        <v/>
      </c>
      <c r="C71" s="273">
        <f>IF(A71&lt;&gt;"",""&amp;DATA_EO!L68,"")</f>
        <v/>
      </c>
      <c r="D71" s="273">
        <f>IF(A71&lt;&gt;"",""&amp;DATA_EO!B68,"")</f>
        <v/>
      </c>
      <c r="E71" s="273">
        <f>IF(A71&lt;&gt;"",""&amp;DATA_EO!G68,"")</f>
        <v/>
      </c>
      <c r="F71" s="273">
        <f>IF(A71&lt;&gt;"",""&amp;DATA_EO!K68,"")</f>
        <v/>
      </c>
      <c r="G71" s="273">
        <f>IF(A71&lt;&gt;"",""&amp;DATA_EO!J68,"")</f>
        <v/>
      </c>
      <c r="H71" s="273">
        <f>IF(A71&lt;&gt;"",""&amp;DATA_EO!M68,"")</f>
        <v/>
      </c>
    </row>
    <row r="72">
      <c r="A72" s="273">
        <f>IF(DATA_EO!A69&lt;&gt;"",""&amp;DATA_EO!A69,"")</f>
        <v/>
      </c>
      <c r="B72" s="273">
        <f>IF(A72&lt;&gt;"","EO","")</f>
        <v/>
      </c>
      <c r="C72" s="273">
        <f>IF(A72&lt;&gt;"",""&amp;DATA_EO!L69,"")</f>
        <v/>
      </c>
      <c r="D72" s="273">
        <f>IF(A72&lt;&gt;"",""&amp;DATA_EO!B69,"")</f>
        <v/>
      </c>
      <c r="E72" s="273">
        <f>IF(A72&lt;&gt;"",""&amp;DATA_EO!G69,"")</f>
        <v/>
      </c>
      <c r="F72" s="273">
        <f>IF(A72&lt;&gt;"",""&amp;DATA_EO!K69,"")</f>
        <v/>
      </c>
      <c r="G72" s="273">
        <f>IF(A72&lt;&gt;"",""&amp;DATA_EO!J69,"")</f>
        <v/>
      </c>
      <c r="H72" s="273">
        <f>IF(A72&lt;&gt;"",""&amp;DATA_EO!M69,"")</f>
        <v/>
      </c>
    </row>
    <row r="73">
      <c r="A73" s="273">
        <f>IF(DATA_EO!A70&lt;&gt;"",""&amp;DATA_EO!A70,"")</f>
        <v/>
      </c>
      <c r="B73" s="273">
        <f>IF(A73&lt;&gt;"","EO","")</f>
        <v/>
      </c>
      <c r="C73" s="273">
        <f>IF(A73&lt;&gt;"",""&amp;DATA_EO!L70,"")</f>
        <v/>
      </c>
      <c r="D73" s="273">
        <f>IF(A73&lt;&gt;"",""&amp;DATA_EO!B70,"")</f>
        <v/>
      </c>
      <c r="E73" s="273">
        <f>IF(A73&lt;&gt;"",""&amp;DATA_EO!G70,"")</f>
        <v/>
      </c>
      <c r="F73" s="273">
        <f>IF(A73&lt;&gt;"",""&amp;DATA_EO!K70,"")</f>
        <v/>
      </c>
      <c r="G73" s="273">
        <f>IF(A73&lt;&gt;"",""&amp;DATA_EO!J70,"")</f>
        <v/>
      </c>
      <c r="H73" s="273">
        <f>IF(A73&lt;&gt;"",""&amp;DATA_EO!M70,"")</f>
        <v/>
      </c>
    </row>
    <row r="74">
      <c r="A74" s="273">
        <f>IF(DATA_EO!A71&lt;&gt;"",""&amp;DATA_EO!A71,"")</f>
        <v/>
      </c>
      <c r="B74" s="273">
        <f>IF(A74&lt;&gt;"","EO","")</f>
        <v/>
      </c>
      <c r="C74" s="273">
        <f>IF(A74&lt;&gt;"",""&amp;DATA_EO!L71,"")</f>
        <v/>
      </c>
      <c r="D74" s="273">
        <f>IF(A74&lt;&gt;"",""&amp;DATA_EO!B71,"")</f>
        <v/>
      </c>
      <c r="E74" s="273">
        <f>IF(A74&lt;&gt;"",""&amp;DATA_EO!G71,"")</f>
        <v/>
      </c>
      <c r="F74" s="273">
        <f>IF(A74&lt;&gt;"",""&amp;DATA_EO!K71,"")</f>
        <v/>
      </c>
      <c r="G74" s="273">
        <f>IF(A74&lt;&gt;"",""&amp;DATA_EO!J71,"")</f>
        <v/>
      </c>
      <c r="H74" s="273">
        <f>IF(A74&lt;&gt;"",""&amp;DATA_EO!M71,"")</f>
        <v/>
      </c>
    </row>
    <row r="75">
      <c r="A75" s="273">
        <f>IF(DATA_EO!A72&lt;&gt;"",""&amp;DATA_EO!A72,"")</f>
        <v/>
      </c>
      <c r="B75" s="273">
        <f>IF(A75&lt;&gt;"","EO","")</f>
        <v/>
      </c>
      <c r="C75" s="273">
        <f>IF(A75&lt;&gt;"",""&amp;DATA_EO!L72,"")</f>
        <v/>
      </c>
      <c r="D75" s="273">
        <f>IF(A75&lt;&gt;"",""&amp;DATA_EO!B72,"")</f>
        <v/>
      </c>
      <c r="E75" s="273">
        <f>IF(A75&lt;&gt;"",""&amp;DATA_EO!G72,"")</f>
        <v/>
      </c>
      <c r="F75" s="273">
        <f>IF(A75&lt;&gt;"",""&amp;DATA_EO!K72,"")</f>
        <v/>
      </c>
      <c r="G75" s="273">
        <f>IF(A75&lt;&gt;"",""&amp;DATA_EO!J72,"")</f>
        <v/>
      </c>
      <c r="H75" s="273">
        <f>IF(A75&lt;&gt;"",""&amp;DATA_EO!M72,"")</f>
        <v/>
      </c>
    </row>
    <row r="76">
      <c r="A76" s="273">
        <f>IF(DATA_EO!A73&lt;&gt;"",""&amp;DATA_EO!A73,"")</f>
        <v/>
      </c>
      <c r="B76" s="273">
        <f>IF(A76&lt;&gt;"","EO","")</f>
        <v/>
      </c>
      <c r="C76" s="273">
        <f>IF(A76&lt;&gt;"",""&amp;DATA_EO!L73,"")</f>
        <v/>
      </c>
      <c r="D76" s="273">
        <f>IF(A76&lt;&gt;"",""&amp;DATA_EO!B73,"")</f>
        <v/>
      </c>
      <c r="E76" s="273">
        <f>IF(A76&lt;&gt;"",""&amp;DATA_EO!G73,"")</f>
        <v/>
      </c>
      <c r="F76" s="273">
        <f>IF(A76&lt;&gt;"",""&amp;DATA_EO!K73,"")</f>
        <v/>
      </c>
      <c r="G76" s="273">
        <f>IF(A76&lt;&gt;"",""&amp;DATA_EO!J73,"")</f>
        <v/>
      </c>
      <c r="H76" s="273">
        <f>IF(A76&lt;&gt;"",""&amp;DATA_EO!M73,"")</f>
        <v/>
      </c>
    </row>
    <row r="77">
      <c r="A77" s="273">
        <f>IF(DATA_EO!A74&lt;&gt;"",""&amp;DATA_EO!A74,"")</f>
        <v/>
      </c>
      <c r="B77" s="273">
        <f>IF(A77&lt;&gt;"","EO","")</f>
        <v/>
      </c>
      <c r="C77" s="273">
        <f>IF(A77&lt;&gt;"",""&amp;DATA_EO!L74,"")</f>
        <v/>
      </c>
      <c r="D77" s="273">
        <f>IF(A77&lt;&gt;"",""&amp;DATA_EO!B74,"")</f>
        <v/>
      </c>
      <c r="E77" s="273">
        <f>IF(A77&lt;&gt;"",""&amp;DATA_EO!G74,"")</f>
        <v/>
      </c>
      <c r="F77" s="273">
        <f>IF(A77&lt;&gt;"",""&amp;DATA_EO!K74,"")</f>
        <v/>
      </c>
      <c r="G77" s="273">
        <f>IF(A77&lt;&gt;"",""&amp;DATA_EO!J74,"")</f>
        <v/>
      </c>
      <c r="H77" s="273">
        <f>IF(A77&lt;&gt;"",""&amp;DATA_EO!M74,"")</f>
        <v/>
      </c>
    </row>
    <row r="78">
      <c r="A78" s="273">
        <f>IF(DATA_EO!A75&lt;&gt;"",""&amp;DATA_EO!A75,"")</f>
        <v/>
      </c>
      <c r="B78" s="273">
        <f>IF(A78&lt;&gt;"","EO","")</f>
        <v/>
      </c>
      <c r="C78" s="273">
        <f>IF(A78&lt;&gt;"",""&amp;DATA_EO!L75,"")</f>
        <v/>
      </c>
      <c r="D78" s="273">
        <f>IF(A78&lt;&gt;"",""&amp;DATA_EO!B75,"")</f>
        <v/>
      </c>
      <c r="E78" s="273">
        <f>IF(A78&lt;&gt;"",""&amp;DATA_EO!G75,"")</f>
        <v/>
      </c>
      <c r="F78" s="273">
        <f>IF(A78&lt;&gt;"",""&amp;DATA_EO!K75,"")</f>
        <v/>
      </c>
      <c r="G78" s="273">
        <f>IF(A78&lt;&gt;"",""&amp;DATA_EO!J75,"")</f>
        <v/>
      </c>
      <c r="H78" s="273">
        <f>IF(A78&lt;&gt;"",""&amp;DATA_EO!M75,"")</f>
        <v/>
      </c>
    </row>
    <row r="79">
      <c r="A79" s="273">
        <f>IF(DATA_EO!A76&lt;&gt;"",""&amp;DATA_EO!A76,"")</f>
        <v/>
      </c>
      <c r="B79" s="273">
        <f>IF(A79&lt;&gt;"","EO","")</f>
        <v/>
      </c>
      <c r="C79" s="273">
        <f>IF(A79&lt;&gt;"",""&amp;DATA_EO!L76,"")</f>
        <v/>
      </c>
      <c r="D79" s="273">
        <f>IF(A79&lt;&gt;"",""&amp;DATA_EO!B76,"")</f>
        <v/>
      </c>
      <c r="E79" s="273">
        <f>IF(A79&lt;&gt;"",""&amp;DATA_EO!G76,"")</f>
        <v/>
      </c>
      <c r="F79" s="273">
        <f>IF(A79&lt;&gt;"",""&amp;DATA_EO!K76,"")</f>
        <v/>
      </c>
      <c r="G79" s="273">
        <f>IF(A79&lt;&gt;"",""&amp;DATA_EO!J76,"")</f>
        <v/>
      </c>
      <c r="H79" s="273">
        <f>IF(A79&lt;&gt;"",""&amp;DATA_EO!M76,"")</f>
        <v/>
      </c>
    </row>
    <row r="80">
      <c r="A80" s="273">
        <f>IF(DATA_EO!A77&lt;&gt;"",""&amp;DATA_EO!A77,"")</f>
        <v/>
      </c>
      <c r="B80" s="273">
        <f>IF(A80&lt;&gt;"","EO","")</f>
        <v/>
      </c>
      <c r="C80" s="273">
        <f>IF(A80&lt;&gt;"",""&amp;DATA_EO!L77,"")</f>
        <v/>
      </c>
      <c r="D80" s="273">
        <f>IF(A80&lt;&gt;"",""&amp;DATA_EO!B77,"")</f>
        <v/>
      </c>
      <c r="E80" s="273">
        <f>IF(A80&lt;&gt;"",""&amp;DATA_EO!G77,"")</f>
        <v/>
      </c>
      <c r="F80" s="273">
        <f>IF(A80&lt;&gt;"",""&amp;DATA_EO!K77,"")</f>
        <v/>
      </c>
      <c r="G80" s="273">
        <f>IF(A80&lt;&gt;"",""&amp;DATA_EO!J77,"")</f>
        <v/>
      </c>
      <c r="H80" s="273">
        <f>IF(A80&lt;&gt;"",""&amp;DATA_EO!M77,"")</f>
        <v/>
      </c>
    </row>
    <row r="81">
      <c r="A81" s="273">
        <f>IF(DATA_EO!A78&lt;&gt;"",""&amp;DATA_EO!A78,"")</f>
        <v/>
      </c>
      <c r="B81" s="273">
        <f>IF(A81&lt;&gt;"","EO","")</f>
        <v/>
      </c>
      <c r="C81" s="273">
        <f>IF(A81&lt;&gt;"",""&amp;DATA_EO!L78,"")</f>
        <v/>
      </c>
      <c r="D81" s="273">
        <f>IF(A81&lt;&gt;"",""&amp;DATA_EO!B78,"")</f>
        <v/>
      </c>
      <c r="E81" s="273">
        <f>IF(A81&lt;&gt;"",""&amp;DATA_EO!G78,"")</f>
        <v/>
      </c>
      <c r="F81" s="273">
        <f>IF(A81&lt;&gt;"",""&amp;DATA_EO!K78,"")</f>
        <v/>
      </c>
      <c r="G81" s="273">
        <f>IF(A81&lt;&gt;"",""&amp;DATA_EO!J78,"")</f>
        <v/>
      </c>
      <c r="H81" s="273">
        <f>IF(A81&lt;&gt;"",""&amp;DATA_EO!M78,"")</f>
        <v/>
      </c>
    </row>
    <row r="82">
      <c r="A82" s="273">
        <f>IF(DATA_EO!A79&lt;&gt;"",""&amp;DATA_EO!A79,"")</f>
        <v/>
      </c>
      <c r="B82" s="273">
        <f>IF(A82&lt;&gt;"","EO","")</f>
        <v/>
      </c>
      <c r="C82" s="273">
        <f>IF(A82&lt;&gt;"",""&amp;DATA_EO!L79,"")</f>
        <v/>
      </c>
      <c r="D82" s="273">
        <f>IF(A82&lt;&gt;"",""&amp;DATA_EO!B79,"")</f>
        <v/>
      </c>
      <c r="E82" s="273">
        <f>IF(A82&lt;&gt;"",""&amp;DATA_EO!G79,"")</f>
        <v/>
      </c>
      <c r="F82" s="273">
        <f>IF(A82&lt;&gt;"",""&amp;DATA_EO!K79,"")</f>
        <v/>
      </c>
      <c r="G82" s="273">
        <f>IF(A82&lt;&gt;"",""&amp;DATA_EO!J79,"")</f>
        <v/>
      </c>
      <c r="H82" s="273">
        <f>IF(A82&lt;&gt;"",""&amp;DATA_EO!M79,"")</f>
        <v/>
      </c>
    </row>
    <row r="83">
      <c r="A83" s="273">
        <f>IF(DATA_EO!A80&lt;&gt;"",""&amp;DATA_EO!A80,"")</f>
        <v/>
      </c>
      <c r="B83" s="273">
        <f>IF(A83&lt;&gt;"","EO","")</f>
        <v/>
      </c>
      <c r="C83" s="273">
        <f>IF(A83&lt;&gt;"",""&amp;DATA_EO!L80,"")</f>
        <v/>
      </c>
      <c r="D83" s="273">
        <f>IF(A83&lt;&gt;"",""&amp;DATA_EO!B80,"")</f>
        <v/>
      </c>
      <c r="E83" s="273">
        <f>IF(A83&lt;&gt;"",""&amp;DATA_EO!G80,"")</f>
        <v/>
      </c>
      <c r="F83" s="273">
        <f>IF(A83&lt;&gt;"",""&amp;DATA_EO!K80,"")</f>
        <v/>
      </c>
      <c r="G83" s="273">
        <f>IF(A83&lt;&gt;"",""&amp;DATA_EO!J80,"")</f>
        <v/>
      </c>
      <c r="H83" s="273">
        <f>IF(A83&lt;&gt;"",""&amp;DATA_EO!M80,"")</f>
        <v/>
      </c>
    </row>
    <row r="84">
      <c r="A84" s="273">
        <f>IF(DATA_EO!A81&lt;&gt;"",""&amp;DATA_EO!A81,"")</f>
        <v/>
      </c>
      <c r="B84" s="273">
        <f>IF(A84&lt;&gt;"","EO","")</f>
        <v/>
      </c>
      <c r="C84" s="273">
        <f>IF(A84&lt;&gt;"",""&amp;DATA_EO!L81,"")</f>
        <v/>
      </c>
      <c r="D84" s="273">
        <f>IF(A84&lt;&gt;"",""&amp;DATA_EO!B81,"")</f>
        <v/>
      </c>
      <c r="E84" s="273">
        <f>IF(A84&lt;&gt;"",""&amp;DATA_EO!G81,"")</f>
        <v/>
      </c>
      <c r="F84" s="273">
        <f>IF(A84&lt;&gt;"",""&amp;DATA_EO!K81,"")</f>
        <v/>
      </c>
      <c r="G84" s="273">
        <f>IF(A84&lt;&gt;"",""&amp;DATA_EO!J81,"")</f>
        <v/>
      </c>
      <c r="H84" s="273">
        <f>IF(A84&lt;&gt;"",""&amp;DATA_EO!M81,"")</f>
        <v/>
      </c>
    </row>
    <row r="85">
      <c r="A85" s="273">
        <f>IF(DATA_EO!A82&lt;&gt;"",""&amp;DATA_EO!A82,"")</f>
        <v/>
      </c>
      <c r="B85" s="273">
        <f>IF(A85&lt;&gt;"","EO","")</f>
        <v/>
      </c>
      <c r="C85" s="273">
        <f>IF(A85&lt;&gt;"",""&amp;DATA_EO!L82,"")</f>
        <v/>
      </c>
      <c r="D85" s="273">
        <f>IF(A85&lt;&gt;"",""&amp;DATA_EO!B82,"")</f>
        <v/>
      </c>
      <c r="E85" s="273">
        <f>IF(A85&lt;&gt;"",""&amp;DATA_EO!G82,"")</f>
        <v/>
      </c>
      <c r="F85" s="273">
        <f>IF(A85&lt;&gt;"",""&amp;DATA_EO!K82,"")</f>
        <v/>
      </c>
      <c r="G85" s="273">
        <f>IF(A85&lt;&gt;"",""&amp;DATA_EO!J82,"")</f>
        <v/>
      </c>
      <c r="H85" s="273">
        <f>IF(A85&lt;&gt;"",""&amp;DATA_EO!M82,"")</f>
        <v/>
      </c>
    </row>
    <row r="86">
      <c r="A86" s="273">
        <f>IF(DATA_EO!A83&lt;&gt;"",""&amp;DATA_EO!A83,"")</f>
        <v/>
      </c>
      <c r="B86" s="273">
        <f>IF(A86&lt;&gt;"","EO","")</f>
        <v/>
      </c>
      <c r="C86" s="273">
        <f>IF(A86&lt;&gt;"",""&amp;DATA_EO!L83,"")</f>
        <v/>
      </c>
      <c r="D86" s="273">
        <f>IF(A86&lt;&gt;"",""&amp;DATA_EO!B83,"")</f>
        <v/>
      </c>
      <c r="E86" s="273">
        <f>IF(A86&lt;&gt;"",""&amp;DATA_EO!G83,"")</f>
        <v/>
      </c>
      <c r="F86" s="273">
        <f>IF(A86&lt;&gt;"",""&amp;DATA_EO!K83,"")</f>
        <v/>
      </c>
      <c r="G86" s="273">
        <f>IF(A86&lt;&gt;"",""&amp;DATA_EO!J83,"")</f>
        <v/>
      </c>
      <c r="H86" s="273">
        <f>IF(A86&lt;&gt;"",""&amp;DATA_EO!M83,"")</f>
        <v/>
      </c>
    </row>
    <row r="87">
      <c r="A87" s="273">
        <f>IF(DATA_EO!A84&lt;&gt;"",""&amp;DATA_EO!A84,"")</f>
        <v/>
      </c>
      <c r="B87" s="273">
        <f>IF(A87&lt;&gt;"","EO","")</f>
        <v/>
      </c>
      <c r="C87" s="273">
        <f>IF(A87&lt;&gt;"",""&amp;DATA_EO!L84,"")</f>
        <v/>
      </c>
      <c r="D87" s="273">
        <f>IF(A87&lt;&gt;"",""&amp;DATA_EO!B84,"")</f>
        <v/>
      </c>
      <c r="E87" s="273">
        <f>IF(A87&lt;&gt;"",""&amp;DATA_EO!G84,"")</f>
        <v/>
      </c>
      <c r="F87" s="273">
        <f>IF(A87&lt;&gt;"",""&amp;DATA_EO!K84,"")</f>
        <v/>
      </c>
      <c r="G87" s="273">
        <f>IF(A87&lt;&gt;"",""&amp;DATA_EO!J84,"")</f>
        <v/>
      </c>
      <c r="H87" s="273">
        <f>IF(A87&lt;&gt;"",""&amp;DATA_EO!M84,"")</f>
        <v/>
      </c>
    </row>
    <row r="88">
      <c r="A88" s="273">
        <f>IF(DATA_EO!A85&lt;&gt;"",""&amp;DATA_EO!A85,"")</f>
        <v/>
      </c>
      <c r="B88" s="273">
        <f>IF(A88&lt;&gt;"","EO","")</f>
        <v/>
      </c>
      <c r="C88" s="273">
        <f>IF(A88&lt;&gt;"",""&amp;DATA_EO!L85,"")</f>
        <v/>
      </c>
      <c r="D88" s="273">
        <f>IF(A88&lt;&gt;"",""&amp;DATA_EO!B85,"")</f>
        <v/>
      </c>
      <c r="E88" s="273">
        <f>IF(A88&lt;&gt;"",""&amp;DATA_EO!G85,"")</f>
        <v/>
      </c>
      <c r="F88" s="273">
        <f>IF(A88&lt;&gt;"",""&amp;DATA_EO!K85,"")</f>
        <v/>
      </c>
      <c r="G88" s="273">
        <f>IF(A88&lt;&gt;"",""&amp;DATA_EO!J85,"")</f>
        <v/>
      </c>
      <c r="H88" s="273">
        <f>IF(A88&lt;&gt;"",""&amp;DATA_EO!M85,"")</f>
        <v/>
      </c>
    </row>
    <row r="89">
      <c r="A89" s="273">
        <f>IF(DATA_EO!A86&lt;&gt;"",""&amp;DATA_EO!A86,"")</f>
        <v/>
      </c>
      <c r="B89" s="273">
        <f>IF(A89&lt;&gt;"","EO","")</f>
        <v/>
      </c>
      <c r="C89" s="273">
        <f>IF(A89&lt;&gt;"",""&amp;DATA_EO!L86,"")</f>
        <v/>
      </c>
      <c r="D89" s="273">
        <f>IF(A89&lt;&gt;"",""&amp;DATA_EO!B86,"")</f>
        <v/>
      </c>
      <c r="E89" s="273">
        <f>IF(A89&lt;&gt;"",""&amp;DATA_EO!G86,"")</f>
        <v/>
      </c>
      <c r="F89" s="273">
        <f>IF(A89&lt;&gt;"",""&amp;DATA_EO!K86,"")</f>
        <v/>
      </c>
      <c r="G89" s="273">
        <f>IF(A89&lt;&gt;"",""&amp;DATA_EO!J86,"")</f>
        <v/>
      </c>
      <c r="H89" s="273">
        <f>IF(A89&lt;&gt;"",""&amp;DATA_EO!M86,"")</f>
        <v/>
      </c>
    </row>
    <row r="90">
      <c r="A90" s="273">
        <f>IF(DATA_EO!A87&lt;&gt;"",""&amp;DATA_EO!A87,"")</f>
        <v/>
      </c>
      <c r="B90" s="273">
        <f>IF(A90&lt;&gt;"","EO","")</f>
        <v/>
      </c>
      <c r="C90" s="273">
        <f>IF(A90&lt;&gt;"",""&amp;DATA_EO!L87,"")</f>
        <v/>
      </c>
      <c r="D90" s="273">
        <f>IF(A90&lt;&gt;"",""&amp;DATA_EO!B87,"")</f>
        <v/>
      </c>
      <c r="E90" s="273">
        <f>IF(A90&lt;&gt;"",""&amp;DATA_EO!G87,"")</f>
        <v/>
      </c>
      <c r="F90" s="273">
        <f>IF(A90&lt;&gt;"",""&amp;DATA_EO!K87,"")</f>
        <v/>
      </c>
      <c r="G90" s="273">
        <f>IF(A90&lt;&gt;"",""&amp;DATA_EO!J87,"")</f>
        <v/>
      </c>
      <c r="H90" s="273">
        <f>IF(A90&lt;&gt;"",""&amp;DATA_EO!M87,"")</f>
        <v/>
      </c>
    </row>
    <row r="91">
      <c r="A91" s="273">
        <f>IF(DATA_EO!A88&lt;&gt;"",""&amp;DATA_EO!A88,"")</f>
        <v/>
      </c>
      <c r="B91" s="273">
        <f>IF(A91&lt;&gt;"","EO","")</f>
        <v/>
      </c>
      <c r="C91" s="273">
        <f>IF(A91&lt;&gt;"",""&amp;DATA_EO!L88,"")</f>
        <v/>
      </c>
      <c r="D91" s="273">
        <f>IF(A91&lt;&gt;"",""&amp;DATA_EO!B88,"")</f>
        <v/>
      </c>
      <c r="E91" s="273">
        <f>IF(A91&lt;&gt;"",""&amp;DATA_EO!G88,"")</f>
        <v/>
      </c>
      <c r="F91" s="273">
        <f>IF(A91&lt;&gt;"",""&amp;DATA_EO!K88,"")</f>
        <v/>
      </c>
      <c r="G91" s="273">
        <f>IF(A91&lt;&gt;"",""&amp;DATA_EO!J88,"")</f>
        <v/>
      </c>
      <c r="H91" s="273">
        <f>IF(A91&lt;&gt;"",""&amp;DATA_EO!M88,"")</f>
        <v/>
      </c>
    </row>
    <row r="92">
      <c r="A92" s="273">
        <f>IF(DATA_EO!A89&lt;&gt;"",""&amp;DATA_EO!A89,"")</f>
        <v/>
      </c>
      <c r="B92" s="273">
        <f>IF(A92&lt;&gt;"","EO","")</f>
        <v/>
      </c>
      <c r="C92" s="273">
        <f>IF(A92&lt;&gt;"",""&amp;DATA_EO!L89,"")</f>
        <v/>
      </c>
      <c r="D92" s="273">
        <f>IF(A92&lt;&gt;"",""&amp;DATA_EO!B89,"")</f>
        <v/>
      </c>
      <c r="E92" s="273">
        <f>IF(A92&lt;&gt;"",""&amp;DATA_EO!G89,"")</f>
        <v/>
      </c>
      <c r="F92" s="273">
        <f>IF(A92&lt;&gt;"",""&amp;DATA_EO!K89,"")</f>
        <v/>
      </c>
      <c r="G92" s="273">
        <f>IF(A92&lt;&gt;"",""&amp;DATA_EO!J89,"")</f>
        <v/>
      </c>
      <c r="H92" s="273">
        <f>IF(A92&lt;&gt;"",""&amp;DATA_EO!M89,"")</f>
        <v/>
      </c>
    </row>
    <row r="93">
      <c r="A93" s="273">
        <f>IF(DATA_EO!A90&lt;&gt;"",""&amp;DATA_EO!A90,"")</f>
        <v/>
      </c>
      <c r="B93" s="273">
        <f>IF(A93&lt;&gt;"","EO","")</f>
        <v/>
      </c>
      <c r="C93" s="273">
        <f>IF(A93&lt;&gt;"",""&amp;DATA_EO!L90,"")</f>
        <v/>
      </c>
      <c r="D93" s="273">
        <f>IF(A93&lt;&gt;"",""&amp;DATA_EO!B90,"")</f>
        <v/>
      </c>
      <c r="E93" s="273">
        <f>IF(A93&lt;&gt;"",""&amp;DATA_EO!G90,"")</f>
        <v/>
      </c>
      <c r="F93" s="273">
        <f>IF(A93&lt;&gt;"",""&amp;DATA_EO!K90,"")</f>
        <v/>
      </c>
      <c r="G93" s="273">
        <f>IF(A93&lt;&gt;"",""&amp;DATA_EO!J90,"")</f>
        <v/>
      </c>
      <c r="H93" s="273">
        <f>IF(A93&lt;&gt;"",""&amp;DATA_EO!M90,"")</f>
        <v/>
      </c>
    </row>
    <row r="94">
      <c r="A94" s="273">
        <f>IF(DATA_EO!A91&lt;&gt;"",""&amp;DATA_EO!A91,"")</f>
        <v/>
      </c>
      <c r="B94" s="273">
        <f>IF(A94&lt;&gt;"","EO","")</f>
        <v/>
      </c>
      <c r="C94" s="273">
        <f>IF(A94&lt;&gt;"",""&amp;DATA_EO!L91,"")</f>
        <v/>
      </c>
      <c r="D94" s="273">
        <f>IF(A94&lt;&gt;"",""&amp;DATA_EO!B91,"")</f>
        <v/>
      </c>
      <c r="E94" s="273">
        <f>IF(A94&lt;&gt;"",""&amp;DATA_EO!G91,"")</f>
        <v/>
      </c>
      <c r="F94" s="273">
        <f>IF(A94&lt;&gt;"",""&amp;DATA_EO!K91,"")</f>
        <v/>
      </c>
      <c r="G94" s="273">
        <f>IF(A94&lt;&gt;"",""&amp;DATA_EO!J91,"")</f>
        <v/>
      </c>
      <c r="H94" s="273">
        <f>IF(A94&lt;&gt;"",""&amp;DATA_EO!M91,"")</f>
        <v/>
      </c>
    </row>
    <row r="95">
      <c r="A95" s="273">
        <f>IF(DATA_EO!A92&lt;&gt;"",""&amp;DATA_EO!A92,"")</f>
        <v/>
      </c>
      <c r="B95" s="273">
        <f>IF(A95&lt;&gt;"","EO","")</f>
        <v/>
      </c>
      <c r="C95" s="273">
        <f>IF(A95&lt;&gt;"",""&amp;DATA_EO!L92,"")</f>
        <v/>
      </c>
      <c r="D95" s="273">
        <f>IF(A95&lt;&gt;"",""&amp;DATA_EO!B92,"")</f>
        <v/>
      </c>
      <c r="E95" s="273">
        <f>IF(A95&lt;&gt;"",""&amp;DATA_EO!G92,"")</f>
        <v/>
      </c>
      <c r="F95" s="273">
        <f>IF(A95&lt;&gt;"",""&amp;DATA_EO!K92,"")</f>
        <v/>
      </c>
      <c r="G95" s="273">
        <f>IF(A95&lt;&gt;"",""&amp;DATA_EO!J92,"")</f>
        <v/>
      </c>
      <c r="H95" s="273">
        <f>IF(A95&lt;&gt;"",""&amp;DATA_EO!M92,"")</f>
        <v/>
      </c>
    </row>
    <row r="96">
      <c r="A96" s="273">
        <f>IF(DATA_EO!A93&lt;&gt;"",""&amp;DATA_EO!A93,"")</f>
        <v/>
      </c>
      <c r="B96" s="273">
        <f>IF(A96&lt;&gt;"","EO","")</f>
        <v/>
      </c>
      <c r="C96" s="273">
        <f>IF(A96&lt;&gt;"",""&amp;DATA_EO!L93,"")</f>
        <v/>
      </c>
      <c r="D96" s="273">
        <f>IF(A96&lt;&gt;"",""&amp;DATA_EO!B93,"")</f>
        <v/>
      </c>
      <c r="E96" s="273">
        <f>IF(A96&lt;&gt;"",""&amp;DATA_EO!G93,"")</f>
        <v/>
      </c>
      <c r="F96" s="273">
        <f>IF(A96&lt;&gt;"",""&amp;DATA_EO!K93,"")</f>
        <v/>
      </c>
      <c r="G96" s="273">
        <f>IF(A96&lt;&gt;"",""&amp;DATA_EO!J93,"")</f>
        <v/>
      </c>
      <c r="H96" s="273">
        <f>IF(A96&lt;&gt;"",""&amp;DATA_EO!M93,"")</f>
        <v/>
      </c>
    </row>
    <row r="97">
      <c r="A97" s="273">
        <f>IF(DATA_EO!A94&lt;&gt;"",""&amp;DATA_EO!A94,"")</f>
        <v/>
      </c>
      <c r="B97" s="273">
        <f>IF(A97&lt;&gt;"","EO","")</f>
        <v/>
      </c>
      <c r="C97" s="273">
        <f>IF(A97&lt;&gt;"",""&amp;DATA_EO!L94,"")</f>
        <v/>
      </c>
      <c r="D97" s="273">
        <f>IF(A97&lt;&gt;"",""&amp;DATA_EO!B94,"")</f>
        <v/>
      </c>
      <c r="E97" s="273">
        <f>IF(A97&lt;&gt;"",""&amp;DATA_EO!G94,"")</f>
        <v/>
      </c>
      <c r="F97" s="273">
        <f>IF(A97&lt;&gt;"",""&amp;DATA_EO!K94,"")</f>
        <v/>
      </c>
      <c r="G97" s="273">
        <f>IF(A97&lt;&gt;"",""&amp;DATA_EO!J94,"")</f>
        <v/>
      </c>
      <c r="H97" s="273">
        <f>IF(A97&lt;&gt;"",""&amp;DATA_EO!M94,"")</f>
        <v/>
      </c>
    </row>
    <row r="98">
      <c r="A98" s="273">
        <f>IF(DATA_EO!A95&lt;&gt;"",""&amp;DATA_EO!A95,"")</f>
        <v/>
      </c>
      <c r="B98" s="273">
        <f>IF(A98&lt;&gt;"","EO","")</f>
        <v/>
      </c>
      <c r="C98" s="273">
        <f>IF(A98&lt;&gt;"",""&amp;DATA_EO!L95,"")</f>
        <v/>
      </c>
      <c r="D98" s="273">
        <f>IF(A98&lt;&gt;"",""&amp;DATA_EO!B95,"")</f>
        <v/>
      </c>
      <c r="E98" s="273">
        <f>IF(A98&lt;&gt;"",""&amp;DATA_EO!G95,"")</f>
        <v/>
      </c>
      <c r="F98" s="273">
        <f>IF(A98&lt;&gt;"",""&amp;DATA_EO!K95,"")</f>
        <v/>
      </c>
      <c r="G98" s="273">
        <f>IF(A98&lt;&gt;"",""&amp;DATA_EO!J95,"")</f>
        <v/>
      </c>
      <c r="H98" s="273">
        <f>IF(A98&lt;&gt;"",""&amp;DATA_EO!M95,"")</f>
        <v/>
      </c>
    </row>
    <row r="99">
      <c r="A99" s="273">
        <f>IF(DATA_EO!A96&lt;&gt;"",""&amp;DATA_EO!A96,"")</f>
        <v/>
      </c>
      <c r="B99" s="273">
        <f>IF(A99&lt;&gt;"","EO","")</f>
        <v/>
      </c>
      <c r="C99" s="273">
        <f>IF(A99&lt;&gt;"",""&amp;DATA_EO!L96,"")</f>
        <v/>
      </c>
      <c r="D99" s="273">
        <f>IF(A99&lt;&gt;"",""&amp;DATA_EO!B96,"")</f>
        <v/>
      </c>
      <c r="E99" s="273">
        <f>IF(A99&lt;&gt;"",""&amp;DATA_EO!G96,"")</f>
        <v/>
      </c>
      <c r="F99" s="273">
        <f>IF(A99&lt;&gt;"",""&amp;DATA_EO!K96,"")</f>
        <v/>
      </c>
      <c r="G99" s="273">
        <f>IF(A99&lt;&gt;"",""&amp;DATA_EO!J96,"")</f>
        <v/>
      </c>
      <c r="H99" s="273">
        <f>IF(A99&lt;&gt;"",""&amp;DATA_EO!M96,"")</f>
        <v/>
      </c>
    </row>
    <row r="100">
      <c r="A100" s="273">
        <f>IF(DATA_EO!A97&lt;&gt;"",""&amp;DATA_EO!A97,"")</f>
        <v/>
      </c>
      <c r="B100" s="273">
        <f>IF(A100&lt;&gt;"","EO","")</f>
        <v/>
      </c>
      <c r="C100" s="273">
        <f>IF(A100&lt;&gt;"",""&amp;DATA_EO!L97,"")</f>
        <v/>
      </c>
      <c r="D100" s="273">
        <f>IF(A100&lt;&gt;"",""&amp;DATA_EO!B97,"")</f>
        <v/>
      </c>
      <c r="E100" s="273">
        <f>IF(A100&lt;&gt;"",""&amp;DATA_EO!G97,"")</f>
        <v/>
      </c>
      <c r="F100" s="273">
        <f>IF(A100&lt;&gt;"",""&amp;DATA_EO!K97,"")</f>
        <v/>
      </c>
      <c r="G100" s="273">
        <f>IF(A100&lt;&gt;"",""&amp;DATA_EO!J97,"")</f>
        <v/>
      </c>
      <c r="H100" s="273">
        <f>IF(A100&lt;&gt;"",""&amp;DATA_EO!M97,"")</f>
        <v/>
      </c>
    </row>
    <row r="101">
      <c r="A101" s="273">
        <f>IF(DATA_EO!A98&lt;&gt;"",""&amp;DATA_EO!A98,"")</f>
        <v/>
      </c>
      <c r="B101" s="273">
        <f>IF(A101&lt;&gt;"","EO","")</f>
        <v/>
      </c>
      <c r="C101" s="273">
        <f>IF(A101&lt;&gt;"",""&amp;DATA_EO!L98,"")</f>
        <v/>
      </c>
      <c r="D101" s="273">
        <f>IF(A101&lt;&gt;"",""&amp;DATA_EO!B98,"")</f>
        <v/>
      </c>
      <c r="E101" s="273">
        <f>IF(A101&lt;&gt;"",""&amp;DATA_EO!G98,"")</f>
        <v/>
      </c>
      <c r="F101" s="273">
        <f>IF(A101&lt;&gt;"",""&amp;DATA_EO!K98,"")</f>
        <v/>
      </c>
      <c r="G101" s="273">
        <f>IF(A101&lt;&gt;"",""&amp;DATA_EO!J98,"")</f>
        <v/>
      </c>
      <c r="H101" s="273">
        <f>IF(A101&lt;&gt;"",""&amp;DATA_EO!M98,"")</f>
        <v/>
      </c>
    </row>
    <row r="102">
      <c r="A102" s="273">
        <f>IF(DATA_EO!A99&lt;&gt;"",""&amp;DATA_EO!A99,"")</f>
        <v/>
      </c>
      <c r="B102" s="273">
        <f>IF(A102&lt;&gt;"","EO","")</f>
        <v/>
      </c>
      <c r="C102" s="273">
        <f>IF(A102&lt;&gt;"",""&amp;DATA_EO!L99,"")</f>
        <v/>
      </c>
      <c r="D102" s="273">
        <f>IF(A102&lt;&gt;"",""&amp;DATA_EO!B99,"")</f>
        <v/>
      </c>
      <c r="E102" s="273">
        <f>IF(A102&lt;&gt;"",""&amp;DATA_EO!G99,"")</f>
        <v/>
      </c>
      <c r="F102" s="273">
        <f>IF(A102&lt;&gt;"",""&amp;DATA_EO!K99,"")</f>
        <v/>
      </c>
      <c r="G102" s="273">
        <f>IF(A102&lt;&gt;"",""&amp;DATA_EO!J99,"")</f>
        <v/>
      </c>
      <c r="H102" s="273">
        <f>IF(A102&lt;&gt;"",""&amp;DATA_EO!M99,"")</f>
        <v/>
      </c>
    </row>
    <row r="103">
      <c r="A103" s="273">
        <f>IF(DATA_EO!A100&lt;&gt;"",""&amp;DATA_EO!A100,"")</f>
        <v/>
      </c>
      <c r="B103" s="273">
        <f>IF(A103&lt;&gt;"","EO","")</f>
        <v/>
      </c>
      <c r="C103" s="273">
        <f>IF(A103&lt;&gt;"",""&amp;DATA_EO!L100,"")</f>
        <v/>
      </c>
      <c r="D103" s="273">
        <f>IF(A103&lt;&gt;"",""&amp;DATA_EO!B100,"")</f>
        <v/>
      </c>
      <c r="E103" s="273">
        <f>IF(A103&lt;&gt;"",""&amp;DATA_EO!G100,"")</f>
        <v/>
      </c>
      <c r="F103" s="273">
        <f>IF(A103&lt;&gt;"",""&amp;DATA_EO!K100,"")</f>
        <v/>
      </c>
      <c r="G103" s="273">
        <f>IF(A103&lt;&gt;"",""&amp;DATA_EO!J100,"")</f>
        <v/>
      </c>
      <c r="H103" s="273">
        <f>IF(A103&lt;&gt;"",""&amp;DATA_EO!M100,"")</f>
        <v/>
      </c>
    </row>
    <row r="104">
      <c r="A104" s="273">
        <f>IF(DATA_EO!A101&lt;&gt;"",""&amp;DATA_EO!A101,"")</f>
        <v/>
      </c>
      <c r="B104" s="273">
        <f>IF(A104&lt;&gt;"","EO","")</f>
        <v/>
      </c>
      <c r="C104" s="273">
        <f>IF(A104&lt;&gt;"",""&amp;DATA_EO!L101,"")</f>
        <v/>
      </c>
      <c r="D104" s="273">
        <f>IF(A104&lt;&gt;"",""&amp;DATA_EO!B101,"")</f>
        <v/>
      </c>
      <c r="E104" s="273">
        <f>IF(A104&lt;&gt;"",""&amp;DATA_EO!G101,"")</f>
        <v/>
      </c>
      <c r="F104" s="273">
        <f>IF(A104&lt;&gt;"",""&amp;DATA_EO!K101,"")</f>
        <v/>
      </c>
      <c r="G104" s="273">
        <f>IF(A104&lt;&gt;"",""&amp;DATA_EO!J101,"")</f>
        <v/>
      </c>
      <c r="H104" s="273">
        <f>IF(A104&lt;&gt;"",""&amp;DATA_EO!M101,"")</f>
        <v/>
      </c>
    </row>
    <row r="105">
      <c r="A105" s="273">
        <f>IF(DATA_EO!A102&lt;&gt;"",""&amp;DATA_EO!A102,"")</f>
        <v/>
      </c>
      <c r="B105" s="273">
        <f>IF(A105&lt;&gt;"","EO","")</f>
        <v/>
      </c>
      <c r="C105" s="273">
        <f>IF(A105&lt;&gt;"",""&amp;DATA_EO!L102,"")</f>
        <v/>
      </c>
      <c r="D105" s="273">
        <f>IF(A105&lt;&gt;"",""&amp;DATA_EO!B102,"")</f>
        <v/>
      </c>
      <c r="E105" s="273">
        <f>IF(A105&lt;&gt;"",""&amp;DATA_EO!G102,"")</f>
        <v/>
      </c>
      <c r="F105" s="273">
        <f>IF(A105&lt;&gt;"",""&amp;DATA_EO!K102,"")</f>
        <v/>
      </c>
      <c r="G105" s="273">
        <f>IF(A105&lt;&gt;"",""&amp;DATA_EO!J102,"")</f>
        <v/>
      </c>
      <c r="H105" s="273">
        <f>IF(A105&lt;&gt;"",""&amp;DATA_EO!M102,"")</f>
        <v/>
      </c>
    </row>
    <row r="106">
      <c r="A106" s="273">
        <f>IF(DATA_EO!A103&lt;&gt;"",""&amp;DATA_EO!A103,"")</f>
        <v/>
      </c>
      <c r="B106" s="273">
        <f>IF(A106&lt;&gt;"","EO","")</f>
        <v/>
      </c>
      <c r="C106" s="273">
        <f>IF(A106&lt;&gt;"",""&amp;DATA_EO!L103,"")</f>
        <v/>
      </c>
      <c r="D106" s="273">
        <f>IF(A106&lt;&gt;"",""&amp;DATA_EO!B103,"")</f>
        <v/>
      </c>
      <c r="E106" s="273">
        <f>IF(A106&lt;&gt;"",""&amp;DATA_EO!G103,"")</f>
        <v/>
      </c>
      <c r="F106" s="273">
        <f>IF(A106&lt;&gt;"",""&amp;DATA_EO!K103,"")</f>
        <v/>
      </c>
      <c r="G106" s="273">
        <f>IF(A106&lt;&gt;"",""&amp;DATA_EO!J103,"")</f>
        <v/>
      </c>
      <c r="H106" s="273">
        <f>IF(A106&lt;&gt;"",""&amp;DATA_EO!M103,"")</f>
        <v/>
      </c>
    </row>
    <row r="107">
      <c r="A107" s="273">
        <f>IF(DATA_EO!A104&lt;&gt;"",""&amp;DATA_EO!A104,"")</f>
        <v/>
      </c>
      <c r="B107" s="273">
        <f>IF(A107&lt;&gt;"","EO","")</f>
        <v/>
      </c>
      <c r="C107" s="273">
        <f>IF(A107&lt;&gt;"",""&amp;DATA_EO!L104,"")</f>
        <v/>
      </c>
      <c r="D107" s="273">
        <f>IF(A107&lt;&gt;"",""&amp;DATA_EO!B104,"")</f>
        <v/>
      </c>
      <c r="E107" s="273">
        <f>IF(A107&lt;&gt;"",""&amp;DATA_EO!G104,"")</f>
        <v/>
      </c>
      <c r="F107" s="273">
        <f>IF(A107&lt;&gt;"",""&amp;DATA_EO!K104,"")</f>
        <v/>
      </c>
      <c r="G107" s="273">
        <f>IF(A107&lt;&gt;"",""&amp;DATA_EO!J104,"")</f>
        <v/>
      </c>
      <c r="H107" s="273">
        <f>IF(A107&lt;&gt;"",""&amp;DATA_EO!M104,"")</f>
        <v/>
      </c>
    </row>
    <row r="108">
      <c r="A108" s="273">
        <f>IF(DATA_EO!A105&lt;&gt;"",""&amp;DATA_EO!A105,"")</f>
        <v/>
      </c>
      <c r="B108" s="273">
        <f>IF(A108&lt;&gt;"","EO","")</f>
        <v/>
      </c>
      <c r="C108" s="273">
        <f>IF(A108&lt;&gt;"",""&amp;DATA_EO!L105,"")</f>
        <v/>
      </c>
      <c r="D108" s="273">
        <f>IF(A108&lt;&gt;"",""&amp;DATA_EO!B105,"")</f>
        <v/>
      </c>
      <c r="E108" s="273">
        <f>IF(A108&lt;&gt;"",""&amp;DATA_EO!G105,"")</f>
        <v/>
      </c>
      <c r="F108" s="273">
        <f>IF(A108&lt;&gt;"",""&amp;DATA_EO!K105,"")</f>
        <v/>
      </c>
      <c r="G108" s="273">
        <f>IF(A108&lt;&gt;"",""&amp;DATA_EO!J105,"")</f>
        <v/>
      </c>
      <c r="H108" s="273">
        <f>IF(A108&lt;&gt;"",""&amp;DATA_EO!M105,"")</f>
        <v/>
      </c>
    </row>
    <row r="109">
      <c r="A109" s="273">
        <f>IF(DATA_EO!A106&lt;&gt;"",""&amp;DATA_EO!A106,"")</f>
        <v/>
      </c>
      <c r="B109" s="273">
        <f>IF(A109&lt;&gt;"","EO","")</f>
        <v/>
      </c>
      <c r="C109" s="273">
        <f>IF(A109&lt;&gt;"",""&amp;DATA_EO!L106,"")</f>
        <v/>
      </c>
      <c r="D109" s="273">
        <f>IF(A109&lt;&gt;"",""&amp;DATA_EO!B106,"")</f>
        <v/>
      </c>
      <c r="E109" s="273">
        <f>IF(A109&lt;&gt;"",""&amp;DATA_EO!G106,"")</f>
        <v/>
      </c>
      <c r="F109" s="273">
        <f>IF(A109&lt;&gt;"",""&amp;DATA_EO!K106,"")</f>
        <v/>
      </c>
      <c r="G109" s="273">
        <f>IF(A109&lt;&gt;"",""&amp;DATA_EO!J106,"")</f>
        <v/>
      </c>
      <c r="H109" s="273">
        <f>IF(A109&lt;&gt;"",""&amp;DATA_EO!M106,"")</f>
        <v/>
      </c>
    </row>
    <row r="110">
      <c r="A110" s="273">
        <f>IF(DATA_EO!A107&lt;&gt;"",""&amp;DATA_EO!A107,"")</f>
        <v/>
      </c>
      <c r="B110" s="273">
        <f>IF(A110&lt;&gt;"","EO","")</f>
        <v/>
      </c>
      <c r="C110" s="273">
        <f>IF(A110&lt;&gt;"",""&amp;DATA_EO!L107,"")</f>
        <v/>
      </c>
      <c r="D110" s="273">
        <f>IF(A110&lt;&gt;"",""&amp;DATA_EO!B107,"")</f>
        <v/>
      </c>
      <c r="E110" s="273">
        <f>IF(A110&lt;&gt;"",""&amp;DATA_EO!G107,"")</f>
        <v/>
      </c>
      <c r="F110" s="273">
        <f>IF(A110&lt;&gt;"",""&amp;DATA_EO!K107,"")</f>
        <v/>
      </c>
      <c r="G110" s="273">
        <f>IF(A110&lt;&gt;"",""&amp;DATA_EO!J107,"")</f>
        <v/>
      </c>
      <c r="H110" s="273">
        <f>IF(A110&lt;&gt;"",""&amp;DATA_EO!M107,"")</f>
        <v/>
      </c>
    </row>
    <row r="111">
      <c r="A111" s="273">
        <f>IF(DATA_EO!A108&lt;&gt;"",""&amp;DATA_EO!A108,"")</f>
        <v/>
      </c>
      <c r="B111" s="273">
        <f>IF(A111&lt;&gt;"","EO","")</f>
        <v/>
      </c>
      <c r="C111" s="273">
        <f>IF(A111&lt;&gt;"",""&amp;DATA_EO!L108,"")</f>
        <v/>
      </c>
      <c r="D111" s="273">
        <f>IF(A111&lt;&gt;"",""&amp;DATA_EO!B108,"")</f>
        <v/>
      </c>
      <c r="E111" s="273">
        <f>IF(A111&lt;&gt;"",""&amp;DATA_EO!G108,"")</f>
        <v/>
      </c>
      <c r="F111" s="273">
        <f>IF(A111&lt;&gt;"",""&amp;DATA_EO!K108,"")</f>
        <v/>
      </c>
      <c r="G111" s="273">
        <f>IF(A111&lt;&gt;"",""&amp;DATA_EO!J108,"")</f>
        <v/>
      </c>
      <c r="H111" s="273">
        <f>IF(A111&lt;&gt;"",""&amp;DATA_EO!M108,"")</f>
        <v/>
      </c>
    </row>
    <row r="112">
      <c r="A112" s="273">
        <f>IF(DATA_EO!A109&lt;&gt;"",""&amp;DATA_EO!A109,"")</f>
        <v/>
      </c>
      <c r="B112" s="273">
        <f>IF(A112&lt;&gt;"","EO","")</f>
        <v/>
      </c>
      <c r="C112" s="273">
        <f>IF(A112&lt;&gt;"",""&amp;DATA_EO!L109,"")</f>
        <v/>
      </c>
      <c r="D112" s="273">
        <f>IF(A112&lt;&gt;"",""&amp;DATA_EO!B109,"")</f>
        <v/>
      </c>
      <c r="E112" s="273">
        <f>IF(A112&lt;&gt;"",""&amp;DATA_EO!G109,"")</f>
        <v/>
      </c>
      <c r="F112" s="273">
        <f>IF(A112&lt;&gt;"",""&amp;DATA_EO!K109,"")</f>
        <v/>
      </c>
      <c r="G112" s="273">
        <f>IF(A112&lt;&gt;"",""&amp;DATA_EO!J109,"")</f>
        <v/>
      </c>
      <c r="H112" s="273">
        <f>IF(A112&lt;&gt;"",""&amp;DATA_EO!M109,"")</f>
        <v/>
      </c>
    </row>
    <row r="113">
      <c r="A113" s="273">
        <f>IF(DATA_EO!A110&lt;&gt;"",""&amp;DATA_EO!A110,"")</f>
        <v/>
      </c>
      <c r="B113" s="273">
        <f>IF(A113&lt;&gt;"","EO","")</f>
        <v/>
      </c>
      <c r="C113" s="273">
        <f>IF(A113&lt;&gt;"",""&amp;DATA_EO!L110,"")</f>
        <v/>
      </c>
      <c r="D113" s="273">
        <f>IF(A113&lt;&gt;"",""&amp;DATA_EO!B110,"")</f>
        <v/>
      </c>
      <c r="E113" s="273">
        <f>IF(A113&lt;&gt;"",""&amp;DATA_EO!G110,"")</f>
        <v/>
      </c>
      <c r="F113" s="273">
        <f>IF(A113&lt;&gt;"",""&amp;DATA_EO!K110,"")</f>
        <v/>
      </c>
      <c r="G113" s="273">
        <f>IF(A113&lt;&gt;"",""&amp;DATA_EO!J110,"")</f>
        <v/>
      </c>
      <c r="H113" s="273">
        <f>IF(A113&lt;&gt;"",""&amp;DATA_EO!M110,"")</f>
        <v/>
      </c>
    </row>
    <row r="114">
      <c r="A114" s="273">
        <f>IF(DATA_EO!A111&lt;&gt;"",""&amp;DATA_EO!A111,"")</f>
        <v/>
      </c>
      <c r="B114" s="273">
        <f>IF(A114&lt;&gt;"","EO","")</f>
        <v/>
      </c>
      <c r="C114" s="273">
        <f>IF(A114&lt;&gt;"",""&amp;DATA_EO!L111,"")</f>
        <v/>
      </c>
      <c r="D114" s="273">
        <f>IF(A114&lt;&gt;"",""&amp;DATA_EO!B111,"")</f>
        <v/>
      </c>
      <c r="E114" s="273">
        <f>IF(A114&lt;&gt;"",""&amp;DATA_EO!G111,"")</f>
        <v/>
      </c>
      <c r="F114" s="273">
        <f>IF(A114&lt;&gt;"",""&amp;DATA_EO!K111,"")</f>
        <v/>
      </c>
      <c r="G114" s="273">
        <f>IF(A114&lt;&gt;"",""&amp;DATA_EO!J111,"")</f>
        <v/>
      </c>
      <c r="H114" s="273">
        <f>IF(A114&lt;&gt;"",""&amp;DATA_EO!M111,"")</f>
        <v/>
      </c>
    </row>
    <row r="115">
      <c r="A115" s="273">
        <f>IF(DATA_EO!A112&lt;&gt;"",""&amp;DATA_EO!A112,"")</f>
        <v/>
      </c>
      <c r="B115" s="273">
        <f>IF(A115&lt;&gt;"","EO","")</f>
        <v/>
      </c>
      <c r="C115" s="273">
        <f>IF(A115&lt;&gt;"",""&amp;DATA_EO!L112,"")</f>
        <v/>
      </c>
      <c r="D115" s="273">
        <f>IF(A115&lt;&gt;"",""&amp;DATA_EO!B112,"")</f>
        <v/>
      </c>
      <c r="E115" s="273">
        <f>IF(A115&lt;&gt;"",""&amp;DATA_EO!G112,"")</f>
        <v/>
      </c>
      <c r="F115" s="273">
        <f>IF(A115&lt;&gt;"",""&amp;DATA_EO!K112,"")</f>
        <v/>
      </c>
      <c r="G115" s="273">
        <f>IF(A115&lt;&gt;"",""&amp;DATA_EO!J112,"")</f>
        <v/>
      </c>
      <c r="H115" s="273">
        <f>IF(A115&lt;&gt;"",""&amp;DATA_EO!M112,"")</f>
        <v/>
      </c>
    </row>
    <row r="116">
      <c r="A116" s="273">
        <f>IF(DATA_EO!A113&lt;&gt;"",""&amp;DATA_EO!A113,"")</f>
        <v/>
      </c>
      <c r="B116" s="273">
        <f>IF(A116&lt;&gt;"","EO","")</f>
        <v/>
      </c>
      <c r="C116" s="273">
        <f>IF(A116&lt;&gt;"",""&amp;DATA_EO!L113,"")</f>
        <v/>
      </c>
      <c r="D116" s="273">
        <f>IF(A116&lt;&gt;"",""&amp;DATA_EO!B113,"")</f>
        <v/>
      </c>
      <c r="E116" s="273">
        <f>IF(A116&lt;&gt;"",""&amp;DATA_EO!G113,"")</f>
        <v/>
      </c>
      <c r="F116" s="273">
        <f>IF(A116&lt;&gt;"",""&amp;DATA_EO!K113,"")</f>
        <v/>
      </c>
      <c r="G116" s="273">
        <f>IF(A116&lt;&gt;"",""&amp;DATA_EO!J113,"")</f>
        <v/>
      </c>
      <c r="H116" s="273">
        <f>IF(A116&lt;&gt;"",""&amp;DATA_EO!M113,"")</f>
        <v/>
      </c>
    </row>
    <row r="117">
      <c r="A117" s="273">
        <f>IF(DATA_EO!A114&lt;&gt;"",""&amp;DATA_EO!A114,"")</f>
        <v/>
      </c>
      <c r="B117" s="273">
        <f>IF(A117&lt;&gt;"","EO","")</f>
        <v/>
      </c>
      <c r="C117" s="273">
        <f>IF(A117&lt;&gt;"",""&amp;DATA_EO!L114,"")</f>
        <v/>
      </c>
      <c r="D117" s="273">
        <f>IF(A117&lt;&gt;"",""&amp;DATA_EO!B114,"")</f>
        <v/>
      </c>
      <c r="E117" s="273">
        <f>IF(A117&lt;&gt;"",""&amp;DATA_EO!G114,"")</f>
        <v/>
      </c>
      <c r="F117" s="273">
        <f>IF(A117&lt;&gt;"",""&amp;DATA_EO!K114,"")</f>
        <v/>
      </c>
      <c r="G117" s="273">
        <f>IF(A117&lt;&gt;"",""&amp;DATA_EO!J114,"")</f>
        <v/>
      </c>
      <c r="H117" s="273">
        <f>IF(A117&lt;&gt;"",""&amp;DATA_EO!M114,"")</f>
        <v/>
      </c>
    </row>
    <row r="118">
      <c r="A118" s="273">
        <f>IF(DATA_EO!A115&lt;&gt;"",""&amp;DATA_EO!A115,"")</f>
        <v/>
      </c>
      <c r="B118" s="273">
        <f>IF(A118&lt;&gt;"","EO","")</f>
        <v/>
      </c>
      <c r="C118" s="273">
        <f>IF(A118&lt;&gt;"",""&amp;DATA_EO!L115,"")</f>
        <v/>
      </c>
      <c r="D118" s="273">
        <f>IF(A118&lt;&gt;"",""&amp;DATA_EO!B115,"")</f>
        <v/>
      </c>
      <c r="E118" s="273">
        <f>IF(A118&lt;&gt;"",""&amp;DATA_EO!G115,"")</f>
        <v/>
      </c>
      <c r="F118" s="273">
        <f>IF(A118&lt;&gt;"",""&amp;DATA_EO!K115,"")</f>
        <v/>
      </c>
      <c r="G118" s="273">
        <f>IF(A118&lt;&gt;"",""&amp;DATA_EO!J115,"")</f>
        <v/>
      </c>
      <c r="H118" s="273">
        <f>IF(A118&lt;&gt;"",""&amp;DATA_EO!M115,"")</f>
        <v/>
      </c>
    </row>
    <row r="119">
      <c r="A119" s="273">
        <f>IF(DATA_EO!A116&lt;&gt;"",""&amp;DATA_EO!A116,"")</f>
        <v/>
      </c>
      <c r="B119" s="273">
        <f>IF(A119&lt;&gt;"","EO","")</f>
        <v/>
      </c>
      <c r="C119" s="273">
        <f>IF(A119&lt;&gt;"",""&amp;DATA_EO!L116,"")</f>
        <v/>
      </c>
      <c r="D119" s="273">
        <f>IF(A119&lt;&gt;"",""&amp;DATA_EO!B116,"")</f>
        <v/>
      </c>
      <c r="E119" s="273">
        <f>IF(A119&lt;&gt;"",""&amp;DATA_EO!G116,"")</f>
        <v/>
      </c>
      <c r="F119" s="273">
        <f>IF(A119&lt;&gt;"",""&amp;DATA_EO!K116,"")</f>
        <v/>
      </c>
      <c r="G119" s="273">
        <f>IF(A119&lt;&gt;"",""&amp;DATA_EO!J116,"")</f>
        <v/>
      </c>
      <c r="H119" s="273">
        <f>IF(A119&lt;&gt;"",""&amp;DATA_EO!M116,"")</f>
        <v/>
      </c>
    </row>
    <row r="120">
      <c r="A120" s="273">
        <f>IF(DATA_EO!A117&lt;&gt;"",""&amp;DATA_EO!A117,"")</f>
        <v/>
      </c>
      <c r="B120" s="273">
        <f>IF(A120&lt;&gt;"","EO","")</f>
        <v/>
      </c>
      <c r="C120" s="273">
        <f>IF(A120&lt;&gt;"",""&amp;DATA_EO!L117,"")</f>
        <v/>
      </c>
      <c r="D120" s="273">
        <f>IF(A120&lt;&gt;"",""&amp;DATA_EO!B117,"")</f>
        <v/>
      </c>
      <c r="E120" s="273">
        <f>IF(A120&lt;&gt;"",""&amp;DATA_EO!G117,"")</f>
        <v/>
      </c>
      <c r="F120" s="273">
        <f>IF(A120&lt;&gt;"",""&amp;DATA_EO!K117,"")</f>
        <v/>
      </c>
      <c r="G120" s="273">
        <f>IF(A120&lt;&gt;"",""&amp;DATA_EO!J117,"")</f>
        <v/>
      </c>
      <c r="H120" s="273">
        <f>IF(A120&lt;&gt;"",""&amp;DATA_EO!M117,"")</f>
        <v/>
      </c>
    </row>
    <row r="121">
      <c r="A121" s="273">
        <f>IF(DATA_EO!A118&lt;&gt;"",""&amp;DATA_EO!A118,"")</f>
        <v/>
      </c>
      <c r="B121" s="273">
        <f>IF(A121&lt;&gt;"","EO","")</f>
        <v/>
      </c>
      <c r="C121" s="273">
        <f>IF(A121&lt;&gt;"",""&amp;DATA_EO!L118,"")</f>
        <v/>
      </c>
      <c r="D121" s="273">
        <f>IF(A121&lt;&gt;"",""&amp;DATA_EO!B118,"")</f>
        <v/>
      </c>
      <c r="E121" s="273">
        <f>IF(A121&lt;&gt;"",""&amp;DATA_EO!G118,"")</f>
        <v/>
      </c>
      <c r="F121" s="273">
        <f>IF(A121&lt;&gt;"",""&amp;DATA_EO!K118,"")</f>
        <v/>
      </c>
      <c r="G121" s="273">
        <f>IF(A121&lt;&gt;"",""&amp;DATA_EO!J118,"")</f>
        <v/>
      </c>
      <c r="H121" s="273">
        <f>IF(A121&lt;&gt;"",""&amp;DATA_EO!M118,"")</f>
        <v/>
      </c>
    </row>
    <row r="122">
      <c r="A122" s="273">
        <f>IF(DATA_EO!A119&lt;&gt;"",""&amp;DATA_EO!A119,"")</f>
        <v/>
      </c>
      <c r="B122" s="273">
        <f>IF(A122&lt;&gt;"","EO","")</f>
        <v/>
      </c>
      <c r="C122" s="273">
        <f>IF(A122&lt;&gt;"",""&amp;DATA_EO!L119,"")</f>
        <v/>
      </c>
      <c r="D122" s="273">
        <f>IF(A122&lt;&gt;"",""&amp;DATA_EO!B119,"")</f>
        <v/>
      </c>
      <c r="E122" s="273">
        <f>IF(A122&lt;&gt;"",""&amp;DATA_EO!G119,"")</f>
        <v/>
      </c>
      <c r="F122" s="273">
        <f>IF(A122&lt;&gt;"",""&amp;DATA_EO!K119,"")</f>
        <v/>
      </c>
      <c r="G122" s="273">
        <f>IF(A122&lt;&gt;"",""&amp;DATA_EO!J119,"")</f>
        <v/>
      </c>
      <c r="H122" s="273">
        <f>IF(A122&lt;&gt;"",""&amp;DATA_EO!M119,"")</f>
        <v/>
      </c>
    </row>
    <row r="123">
      <c r="A123" s="273">
        <f>IF(DATA_EO!A120&lt;&gt;"",""&amp;DATA_EO!A120,"")</f>
        <v/>
      </c>
      <c r="B123" s="273">
        <f>IF(A123&lt;&gt;"","EO","")</f>
        <v/>
      </c>
      <c r="C123" s="273">
        <f>IF(A123&lt;&gt;"",""&amp;DATA_EO!L120,"")</f>
        <v/>
      </c>
      <c r="D123" s="273">
        <f>IF(A123&lt;&gt;"",""&amp;DATA_EO!B120,"")</f>
        <v/>
      </c>
      <c r="E123" s="273">
        <f>IF(A123&lt;&gt;"",""&amp;DATA_EO!G120,"")</f>
        <v/>
      </c>
      <c r="F123" s="273">
        <f>IF(A123&lt;&gt;"",""&amp;DATA_EO!K120,"")</f>
        <v/>
      </c>
      <c r="G123" s="273">
        <f>IF(A123&lt;&gt;"",""&amp;DATA_EO!J120,"")</f>
        <v/>
      </c>
      <c r="H123" s="273">
        <f>IF(A123&lt;&gt;"",""&amp;DATA_EO!M120,"")</f>
        <v/>
      </c>
    </row>
    <row r="124">
      <c r="A124" s="273">
        <f>IF(DATA_EO!A121&lt;&gt;"",""&amp;DATA_EO!A121,"")</f>
        <v/>
      </c>
      <c r="B124" s="273">
        <f>IF(A124&lt;&gt;"","EO","")</f>
        <v/>
      </c>
      <c r="C124" s="273">
        <f>IF(A124&lt;&gt;"",""&amp;DATA_EO!L121,"")</f>
        <v/>
      </c>
      <c r="D124" s="273">
        <f>IF(A124&lt;&gt;"",""&amp;DATA_EO!B121,"")</f>
        <v/>
      </c>
      <c r="E124" s="273">
        <f>IF(A124&lt;&gt;"",""&amp;DATA_EO!G121,"")</f>
        <v/>
      </c>
      <c r="F124" s="273">
        <f>IF(A124&lt;&gt;"",""&amp;DATA_EO!K121,"")</f>
        <v/>
      </c>
      <c r="G124" s="273">
        <f>IF(A124&lt;&gt;"",""&amp;DATA_EO!J121,"")</f>
        <v/>
      </c>
      <c r="H124" s="273">
        <f>IF(A124&lt;&gt;"",""&amp;DATA_EO!M121,"")</f>
        <v/>
      </c>
    </row>
    <row r="125">
      <c r="A125" s="273">
        <f>IF(DATA_EO!A122&lt;&gt;"",""&amp;DATA_EO!A122,"")</f>
        <v/>
      </c>
      <c r="B125" s="273">
        <f>IF(A125&lt;&gt;"","EO","")</f>
        <v/>
      </c>
      <c r="C125" s="273">
        <f>IF(A125&lt;&gt;"",""&amp;DATA_EO!L122,"")</f>
        <v/>
      </c>
      <c r="D125" s="273">
        <f>IF(A125&lt;&gt;"",""&amp;DATA_EO!B122,"")</f>
        <v/>
      </c>
      <c r="E125" s="273">
        <f>IF(A125&lt;&gt;"",""&amp;DATA_EO!G122,"")</f>
        <v/>
      </c>
      <c r="F125" s="273">
        <f>IF(A125&lt;&gt;"",""&amp;DATA_EO!K122,"")</f>
        <v/>
      </c>
      <c r="G125" s="273">
        <f>IF(A125&lt;&gt;"",""&amp;DATA_EO!J122,"")</f>
        <v/>
      </c>
      <c r="H125" s="273">
        <f>IF(A125&lt;&gt;"",""&amp;DATA_EO!M122,"")</f>
        <v/>
      </c>
    </row>
    <row r="126">
      <c r="A126" s="273">
        <f>IF(DATA_EO!A123&lt;&gt;"",""&amp;DATA_EO!A123,"")</f>
        <v/>
      </c>
      <c r="B126" s="273">
        <f>IF(A126&lt;&gt;"","EO","")</f>
        <v/>
      </c>
      <c r="C126" s="273">
        <f>IF(A126&lt;&gt;"",""&amp;DATA_EO!L123,"")</f>
        <v/>
      </c>
      <c r="D126" s="273">
        <f>IF(A126&lt;&gt;"",""&amp;DATA_EO!B123,"")</f>
        <v/>
      </c>
      <c r="E126" s="273">
        <f>IF(A126&lt;&gt;"",""&amp;DATA_EO!G123,"")</f>
        <v/>
      </c>
      <c r="F126" s="273">
        <f>IF(A126&lt;&gt;"",""&amp;DATA_EO!K123,"")</f>
        <v/>
      </c>
      <c r="G126" s="273">
        <f>IF(A126&lt;&gt;"",""&amp;DATA_EO!J123,"")</f>
        <v/>
      </c>
      <c r="H126" s="273">
        <f>IF(A126&lt;&gt;"",""&amp;DATA_EO!M123,"")</f>
        <v/>
      </c>
    </row>
    <row r="127">
      <c r="A127" s="273">
        <f>IF(DATA_EO!A124&lt;&gt;"",""&amp;DATA_EO!A124,"")</f>
        <v/>
      </c>
      <c r="B127" s="273">
        <f>IF(A127&lt;&gt;"","EO","")</f>
        <v/>
      </c>
      <c r="C127" s="273">
        <f>IF(A127&lt;&gt;"",""&amp;DATA_EO!L124,"")</f>
        <v/>
      </c>
      <c r="D127" s="273">
        <f>IF(A127&lt;&gt;"",""&amp;DATA_EO!B124,"")</f>
        <v/>
      </c>
      <c r="E127" s="273">
        <f>IF(A127&lt;&gt;"",""&amp;DATA_EO!G124,"")</f>
        <v/>
      </c>
      <c r="F127" s="273">
        <f>IF(A127&lt;&gt;"",""&amp;DATA_EO!K124,"")</f>
        <v/>
      </c>
      <c r="G127" s="273">
        <f>IF(A127&lt;&gt;"",""&amp;DATA_EO!J124,"")</f>
        <v/>
      </c>
      <c r="H127" s="273">
        <f>IF(A127&lt;&gt;"",""&amp;DATA_EO!M124,"")</f>
        <v/>
      </c>
    </row>
    <row r="128">
      <c r="A128" s="273">
        <f>IF(DATA_EO!A125&lt;&gt;"",""&amp;DATA_EO!A125,"")</f>
        <v/>
      </c>
      <c r="B128" s="273">
        <f>IF(A128&lt;&gt;"","EO","")</f>
        <v/>
      </c>
      <c r="C128" s="273">
        <f>IF(A128&lt;&gt;"",""&amp;DATA_EO!L125,"")</f>
        <v/>
      </c>
      <c r="D128" s="273">
        <f>IF(A128&lt;&gt;"",""&amp;DATA_EO!B125,"")</f>
        <v/>
      </c>
      <c r="E128" s="273">
        <f>IF(A128&lt;&gt;"",""&amp;DATA_EO!G125,"")</f>
        <v/>
      </c>
      <c r="F128" s="273">
        <f>IF(A128&lt;&gt;"",""&amp;DATA_EO!K125,"")</f>
        <v/>
      </c>
      <c r="G128" s="273">
        <f>IF(A128&lt;&gt;"",""&amp;DATA_EO!J125,"")</f>
        <v/>
      </c>
      <c r="H128" s="273">
        <f>IF(A128&lt;&gt;"",""&amp;DATA_EO!M125,"")</f>
        <v/>
      </c>
    </row>
    <row r="129">
      <c r="A129" s="273">
        <f>IF(DATA_EO!A126&lt;&gt;"",""&amp;DATA_EO!A126,"")</f>
        <v/>
      </c>
      <c r="B129" s="273">
        <f>IF(A129&lt;&gt;"","EO","")</f>
        <v/>
      </c>
      <c r="C129" s="273">
        <f>IF(A129&lt;&gt;"",""&amp;DATA_EO!L126,"")</f>
        <v/>
      </c>
      <c r="D129" s="273">
        <f>IF(A129&lt;&gt;"",""&amp;DATA_EO!B126,"")</f>
        <v/>
      </c>
      <c r="E129" s="273">
        <f>IF(A129&lt;&gt;"",""&amp;DATA_EO!G126,"")</f>
        <v/>
      </c>
      <c r="F129" s="273">
        <f>IF(A129&lt;&gt;"",""&amp;DATA_EO!K126,"")</f>
        <v/>
      </c>
      <c r="G129" s="273">
        <f>IF(A129&lt;&gt;"",""&amp;DATA_EO!J126,"")</f>
        <v/>
      </c>
      <c r="H129" s="273">
        <f>IF(A129&lt;&gt;"",""&amp;DATA_EO!M126,"")</f>
        <v/>
      </c>
    </row>
    <row r="130">
      <c r="A130" s="273">
        <f>IF(DATA_EO!A127&lt;&gt;"",""&amp;DATA_EO!A127,"")</f>
        <v/>
      </c>
      <c r="B130" s="273">
        <f>IF(A130&lt;&gt;"","EO","")</f>
        <v/>
      </c>
      <c r="C130" s="273">
        <f>IF(A130&lt;&gt;"",""&amp;DATA_EO!L127,"")</f>
        <v/>
      </c>
      <c r="D130" s="273">
        <f>IF(A130&lt;&gt;"",""&amp;DATA_EO!B127,"")</f>
        <v/>
      </c>
      <c r="E130" s="273">
        <f>IF(A130&lt;&gt;"",""&amp;DATA_EO!G127,"")</f>
        <v/>
      </c>
      <c r="F130" s="273">
        <f>IF(A130&lt;&gt;"",""&amp;DATA_EO!K127,"")</f>
        <v/>
      </c>
      <c r="G130" s="273">
        <f>IF(A130&lt;&gt;"",""&amp;DATA_EO!J127,"")</f>
        <v/>
      </c>
      <c r="H130" s="273">
        <f>IF(A130&lt;&gt;"",""&amp;DATA_EO!M127,"")</f>
        <v/>
      </c>
    </row>
    <row r="131">
      <c r="A131" s="273">
        <f>IF(DATA_EO!A128&lt;&gt;"",""&amp;DATA_EO!A128,"")</f>
        <v/>
      </c>
      <c r="B131" s="273">
        <f>IF(A131&lt;&gt;"","EO","")</f>
        <v/>
      </c>
      <c r="C131" s="273">
        <f>IF(A131&lt;&gt;"",""&amp;DATA_EO!L128,"")</f>
        <v/>
      </c>
      <c r="D131" s="273">
        <f>IF(A131&lt;&gt;"",""&amp;DATA_EO!B128,"")</f>
        <v/>
      </c>
      <c r="E131" s="273">
        <f>IF(A131&lt;&gt;"",""&amp;DATA_EO!G128,"")</f>
        <v/>
      </c>
      <c r="F131" s="273">
        <f>IF(A131&lt;&gt;"",""&amp;DATA_EO!K128,"")</f>
        <v/>
      </c>
      <c r="G131" s="273">
        <f>IF(A131&lt;&gt;"",""&amp;DATA_EO!J128,"")</f>
        <v/>
      </c>
      <c r="H131" s="273">
        <f>IF(A131&lt;&gt;"",""&amp;DATA_EO!M128,"")</f>
        <v/>
      </c>
    </row>
    <row r="132">
      <c r="A132" s="273">
        <f>IF(DATA_EO!A129&lt;&gt;"",""&amp;DATA_EO!A129,"")</f>
        <v/>
      </c>
      <c r="B132" s="273">
        <f>IF(A132&lt;&gt;"","EO","")</f>
        <v/>
      </c>
      <c r="C132" s="273">
        <f>IF(A132&lt;&gt;"",""&amp;DATA_EO!L129,"")</f>
        <v/>
      </c>
      <c r="D132" s="273">
        <f>IF(A132&lt;&gt;"",""&amp;DATA_EO!B129,"")</f>
        <v/>
      </c>
      <c r="E132" s="273">
        <f>IF(A132&lt;&gt;"",""&amp;DATA_EO!G129,"")</f>
        <v/>
      </c>
      <c r="F132" s="273">
        <f>IF(A132&lt;&gt;"",""&amp;DATA_EO!K129,"")</f>
        <v/>
      </c>
      <c r="G132" s="273">
        <f>IF(A132&lt;&gt;"",""&amp;DATA_EO!J129,"")</f>
        <v/>
      </c>
      <c r="H132" s="273">
        <f>IF(A132&lt;&gt;"",""&amp;DATA_EO!M129,"")</f>
        <v/>
      </c>
    </row>
    <row r="133">
      <c r="A133" s="273">
        <f>IF(DATA_EO!A130&lt;&gt;"",""&amp;DATA_EO!A130,"")</f>
        <v/>
      </c>
      <c r="B133" s="273">
        <f>IF(A133&lt;&gt;"","EO","")</f>
        <v/>
      </c>
      <c r="C133" s="273">
        <f>IF(A133&lt;&gt;"",""&amp;DATA_EO!L130,"")</f>
        <v/>
      </c>
      <c r="D133" s="273">
        <f>IF(A133&lt;&gt;"",""&amp;DATA_EO!B130,"")</f>
        <v/>
      </c>
      <c r="E133" s="273">
        <f>IF(A133&lt;&gt;"",""&amp;DATA_EO!G130,"")</f>
        <v/>
      </c>
      <c r="F133" s="273">
        <f>IF(A133&lt;&gt;"",""&amp;DATA_EO!K130,"")</f>
        <v/>
      </c>
      <c r="G133" s="273">
        <f>IF(A133&lt;&gt;"",""&amp;DATA_EO!J130,"")</f>
        <v/>
      </c>
      <c r="H133" s="273">
        <f>IF(A133&lt;&gt;"",""&amp;DATA_EO!M130,"")</f>
        <v/>
      </c>
    </row>
    <row r="134">
      <c r="A134" s="273">
        <f>IF(DATA_EO!A131&lt;&gt;"",""&amp;DATA_EO!A131,"")</f>
        <v/>
      </c>
      <c r="B134" s="273">
        <f>IF(A134&lt;&gt;"","EO","")</f>
        <v/>
      </c>
      <c r="C134" s="273">
        <f>IF(A134&lt;&gt;"",""&amp;DATA_EO!L131,"")</f>
        <v/>
      </c>
      <c r="D134" s="273">
        <f>IF(A134&lt;&gt;"",""&amp;DATA_EO!B131,"")</f>
        <v/>
      </c>
      <c r="E134" s="273">
        <f>IF(A134&lt;&gt;"",""&amp;DATA_EO!G131,"")</f>
        <v/>
      </c>
      <c r="F134" s="273">
        <f>IF(A134&lt;&gt;"",""&amp;DATA_EO!K131,"")</f>
        <v/>
      </c>
      <c r="G134" s="273">
        <f>IF(A134&lt;&gt;"",""&amp;DATA_EO!J131,"")</f>
        <v/>
      </c>
      <c r="H134" s="273">
        <f>IF(A134&lt;&gt;"",""&amp;DATA_EO!M131,"")</f>
        <v/>
      </c>
    </row>
    <row r="135">
      <c r="A135" s="273">
        <f>IF(DATA_EO!A132&lt;&gt;"",""&amp;DATA_EO!A132,"")</f>
        <v/>
      </c>
      <c r="B135" s="273">
        <f>IF(A135&lt;&gt;"","EO","")</f>
        <v/>
      </c>
      <c r="C135" s="273">
        <f>IF(A135&lt;&gt;"",""&amp;DATA_EO!L132,"")</f>
        <v/>
      </c>
      <c r="D135" s="273">
        <f>IF(A135&lt;&gt;"",""&amp;DATA_EO!B132,"")</f>
        <v/>
      </c>
      <c r="E135" s="273">
        <f>IF(A135&lt;&gt;"",""&amp;DATA_EO!G132,"")</f>
        <v/>
      </c>
      <c r="F135" s="273">
        <f>IF(A135&lt;&gt;"",""&amp;DATA_EO!K132,"")</f>
        <v/>
      </c>
      <c r="G135" s="273">
        <f>IF(A135&lt;&gt;"",""&amp;DATA_EO!J132,"")</f>
        <v/>
      </c>
      <c r="H135" s="273">
        <f>IF(A135&lt;&gt;"",""&amp;DATA_EO!M132,"")</f>
        <v/>
      </c>
    </row>
    <row r="136">
      <c r="A136" s="273">
        <f>IF(DATA_EO!A133&lt;&gt;"",""&amp;DATA_EO!A133,"")</f>
        <v/>
      </c>
      <c r="B136" s="273">
        <f>IF(A136&lt;&gt;"","EO","")</f>
        <v/>
      </c>
      <c r="C136" s="273">
        <f>IF(A136&lt;&gt;"",""&amp;DATA_EO!L133,"")</f>
        <v/>
      </c>
      <c r="D136" s="273">
        <f>IF(A136&lt;&gt;"",""&amp;DATA_EO!B133,"")</f>
        <v/>
      </c>
      <c r="E136" s="273">
        <f>IF(A136&lt;&gt;"",""&amp;DATA_EO!G133,"")</f>
        <v/>
      </c>
      <c r="F136" s="273">
        <f>IF(A136&lt;&gt;"",""&amp;DATA_EO!K133,"")</f>
        <v/>
      </c>
      <c r="G136" s="273">
        <f>IF(A136&lt;&gt;"",""&amp;DATA_EO!J133,"")</f>
        <v/>
      </c>
      <c r="H136" s="273">
        <f>IF(A136&lt;&gt;"",""&amp;DATA_EO!M133,"")</f>
        <v/>
      </c>
    </row>
    <row r="137">
      <c r="A137" s="273">
        <f>IF(DATA_EO!A134&lt;&gt;"",""&amp;DATA_EO!A134,"")</f>
        <v/>
      </c>
      <c r="B137" s="273">
        <f>IF(A137&lt;&gt;"","EO","")</f>
        <v/>
      </c>
      <c r="C137" s="273">
        <f>IF(A137&lt;&gt;"",""&amp;DATA_EO!L134,"")</f>
        <v/>
      </c>
      <c r="D137" s="273">
        <f>IF(A137&lt;&gt;"",""&amp;DATA_EO!B134,"")</f>
        <v/>
      </c>
      <c r="E137" s="273">
        <f>IF(A137&lt;&gt;"",""&amp;DATA_EO!G134,"")</f>
        <v/>
      </c>
      <c r="F137" s="273">
        <f>IF(A137&lt;&gt;"",""&amp;DATA_EO!K134,"")</f>
        <v/>
      </c>
      <c r="G137" s="273">
        <f>IF(A137&lt;&gt;"",""&amp;DATA_EO!J134,"")</f>
        <v/>
      </c>
      <c r="H137" s="273">
        <f>IF(A137&lt;&gt;"",""&amp;DATA_EO!M134,"")</f>
        <v/>
      </c>
    </row>
    <row r="138">
      <c r="A138" s="273">
        <f>IF(DATA_EO!A135&lt;&gt;"",""&amp;DATA_EO!A135,"")</f>
        <v/>
      </c>
      <c r="B138" s="273">
        <f>IF(A138&lt;&gt;"","EO","")</f>
        <v/>
      </c>
      <c r="C138" s="273">
        <f>IF(A138&lt;&gt;"",""&amp;DATA_EO!L135,"")</f>
        <v/>
      </c>
      <c r="D138" s="273">
        <f>IF(A138&lt;&gt;"",""&amp;DATA_EO!B135,"")</f>
        <v/>
      </c>
      <c r="E138" s="273">
        <f>IF(A138&lt;&gt;"",""&amp;DATA_EO!G135,"")</f>
        <v/>
      </c>
      <c r="F138" s="273">
        <f>IF(A138&lt;&gt;"",""&amp;DATA_EO!K135,"")</f>
        <v/>
      </c>
      <c r="G138" s="273">
        <f>IF(A138&lt;&gt;"",""&amp;DATA_EO!J135,"")</f>
        <v/>
      </c>
      <c r="H138" s="273">
        <f>IF(A138&lt;&gt;"",""&amp;DATA_EO!M135,"")</f>
        <v/>
      </c>
    </row>
    <row r="139">
      <c r="A139" s="273">
        <f>IF(DATA_EO!A136&lt;&gt;"",""&amp;DATA_EO!A136,"")</f>
        <v/>
      </c>
      <c r="B139" s="273">
        <f>IF(A139&lt;&gt;"","EO","")</f>
        <v/>
      </c>
      <c r="C139" s="273">
        <f>IF(A139&lt;&gt;"",""&amp;DATA_EO!L136,"")</f>
        <v/>
      </c>
      <c r="D139" s="273">
        <f>IF(A139&lt;&gt;"",""&amp;DATA_EO!B136,"")</f>
        <v/>
      </c>
      <c r="E139" s="273">
        <f>IF(A139&lt;&gt;"",""&amp;DATA_EO!G136,"")</f>
        <v/>
      </c>
      <c r="F139" s="273">
        <f>IF(A139&lt;&gt;"",""&amp;DATA_EO!K136,"")</f>
        <v/>
      </c>
      <c r="G139" s="273">
        <f>IF(A139&lt;&gt;"",""&amp;DATA_EO!J136,"")</f>
        <v/>
      </c>
      <c r="H139" s="273">
        <f>IF(A139&lt;&gt;"",""&amp;DATA_EO!M136,"")</f>
        <v/>
      </c>
    </row>
    <row r="140">
      <c r="A140" s="273">
        <f>IF(DATA_EO!A137&lt;&gt;"",""&amp;DATA_EO!A137,"")</f>
        <v/>
      </c>
      <c r="B140" s="273">
        <f>IF(A140&lt;&gt;"","EO","")</f>
        <v/>
      </c>
      <c r="C140" s="273">
        <f>IF(A140&lt;&gt;"",""&amp;DATA_EO!L137,"")</f>
        <v/>
      </c>
      <c r="D140" s="273">
        <f>IF(A140&lt;&gt;"",""&amp;DATA_EO!B137,"")</f>
        <v/>
      </c>
      <c r="E140" s="273">
        <f>IF(A140&lt;&gt;"",""&amp;DATA_EO!G137,"")</f>
        <v/>
      </c>
      <c r="F140" s="273">
        <f>IF(A140&lt;&gt;"",""&amp;DATA_EO!K137,"")</f>
        <v/>
      </c>
      <c r="G140" s="273">
        <f>IF(A140&lt;&gt;"",""&amp;DATA_EO!J137,"")</f>
        <v/>
      </c>
      <c r="H140" s="273">
        <f>IF(A140&lt;&gt;"",""&amp;DATA_EO!M137,"")</f>
        <v/>
      </c>
    </row>
    <row r="141">
      <c r="A141" s="273">
        <f>IF(DATA_EO!A138&lt;&gt;"",""&amp;DATA_EO!A138,"")</f>
        <v/>
      </c>
      <c r="B141" s="273">
        <f>IF(A141&lt;&gt;"","EO","")</f>
        <v/>
      </c>
      <c r="C141" s="273">
        <f>IF(A141&lt;&gt;"",""&amp;DATA_EO!L138,"")</f>
        <v/>
      </c>
      <c r="D141" s="273">
        <f>IF(A141&lt;&gt;"",""&amp;DATA_EO!B138,"")</f>
        <v/>
      </c>
      <c r="E141" s="273">
        <f>IF(A141&lt;&gt;"",""&amp;DATA_EO!G138,"")</f>
        <v/>
      </c>
      <c r="F141" s="273">
        <f>IF(A141&lt;&gt;"",""&amp;DATA_EO!K138,"")</f>
        <v/>
      </c>
      <c r="G141" s="273">
        <f>IF(A141&lt;&gt;"",""&amp;DATA_EO!J138,"")</f>
        <v/>
      </c>
      <c r="H141" s="273">
        <f>IF(A141&lt;&gt;"",""&amp;DATA_EO!M138,"")</f>
        <v/>
      </c>
    </row>
    <row r="142">
      <c r="A142" s="273">
        <f>IF(DATA_EO!A139&lt;&gt;"",""&amp;DATA_EO!A139,"")</f>
        <v/>
      </c>
      <c r="B142" s="273">
        <f>IF(A142&lt;&gt;"","EO","")</f>
        <v/>
      </c>
      <c r="C142" s="273">
        <f>IF(A142&lt;&gt;"",""&amp;DATA_EO!L139,"")</f>
        <v/>
      </c>
      <c r="D142" s="273">
        <f>IF(A142&lt;&gt;"",""&amp;DATA_EO!B139,"")</f>
        <v/>
      </c>
      <c r="E142" s="273">
        <f>IF(A142&lt;&gt;"",""&amp;DATA_EO!G139,"")</f>
        <v/>
      </c>
      <c r="F142" s="273">
        <f>IF(A142&lt;&gt;"",""&amp;DATA_EO!K139,"")</f>
        <v/>
      </c>
      <c r="G142" s="273">
        <f>IF(A142&lt;&gt;"",""&amp;DATA_EO!J139,"")</f>
        <v/>
      </c>
      <c r="H142" s="273">
        <f>IF(A142&lt;&gt;"",""&amp;DATA_EO!M139,"")</f>
        <v/>
      </c>
    </row>
    <row r="143">
      <c r="A143" s="273">
        <f>IF(DATA_EO!A140&lt;&gt;"",""&amp;DATA_EO!A140,"")</f>
        <v/>
      </c>
      <c r="B143" s="273">
        <f>IF(A143&lt;&gt;"","EO","")</f>
        <v/>
      </c>
      <c r="C143" s="273">
        <f>IF(A143&lt;&gt;"",""&amp;DATA_EO!L140,"")</f>
        <v/>
      </c>
      <c r="D143" s="273">
        <f>IF(A143&lt;&gt;"",""&amp;DATA_EO!B140,"")</f>
        <v/>
      </c>
      <c r="E143" s="273">
        <f>IF(A143&lt;&gt;"",""&amp;DATA_EO!G140,"")</f>
        <v/>
      </c>
      <c r="F143" s="273">
        <f>IF(A143&lt;&gt;"",""&amp;DATA_EO!K140,"")</f>
        <v/>
      </c>
      <c r="G143" s="273">
        <f>IF(A143&lt;&gt;"",""&amp;DATA_EO!J140,"")</f>
        <v/>
      </c>
      <c r="H143" s="273">
        <f>IF(A143&lt;&gt;"",""&amp;DATA_EO!M140,"")</f>
        <v/>
      </c>
    </row>
    <row r="144">
      <c r="A144" s="273">
        <f>IF(DATA_EO!A141&lt;&gt;"",""&amp;DATA_EO!A141,"")</f>
        <v/>
      </c>
      <c r="B144" s="273">
        <f>IF(A144&lt;&gt;"","EO","")</f>
        <v/>
      </c>
      <c r="C144" s="273">
        <f>IF(A144&lt;&gt;"",""&amp;DATA_EO!L141,"")</f>
        <v/>
      </c>
      <c r="D144" s="273">
        <f>IF(A144&lt;&gt;"",""&amp;DATA_EO!B141,"")</f>
        <v/>
      </c>
      <c r="E144" s="273">
        <f>IF(A144&lt;&gt;"",""&amp;DATA_EO!G141,"")</f>
        <v/>
      </c>
      <c r="F144" s="273">
        <f>IF(A144&lt;&gt;"",""&amp;DATA_EO!K141,"")</f>
        <v/>
      </c>
      <c r="G144" s="273">
        <f>IF(A144&lt;&gt;"",""&amp;DATA_EO!J141,"")</f>
        <v/>
      </c>
      <c r="H144" s="273">
        <f>IF(A144&lt;&gt;"",""&amp;DATA_EO!M141,"")</f>
        <v/>
      </c>
    </row>
    <row r="145">
      <c r="A145" s="273">
        <f>IF(DATA_EO!A142&lt;&gt;"",""&amp;DATA_EO!A142,"")</f>
        <v/>
      </c>
      <c r="B145" s="273">
        <f>IF(A145&lt;&gt;"","EO","")</f>
        <v/>
      </c>
      <c r="C145" s="273">
        <f>IF(A145&lt;&gt;"",""&amp;DATA_EO!L142,"")</f>
        <v/>
      </c>
      <c r="D145" s="273">
        <f>IF(A145&lt;&gt;"",""&amp;DATA_EO!B142,"")</f>
        <v/>
      </c>
      <c r="E145" s="273">
        <f>IF(A145&lt;&gt;"",""&amp;DATA_EO!G142,"")</f>
        <v/>
      </c>
      <c r="F145" s="273">
        <f>IF(A145&lt;&gt;"",""&amp;DATA_EO!K142,"")</f>
        <v/>
      </c>
      <c r="G145" s="273">
        <f>IF(A145&lt;&gt;"",""&amp;DATA_EO!J142,"")</f>
        <v/>
      </c>
      <c r="H145" s="273">
        <f>IF(A145&lt;&gt;"",""&amp;DATA_EO!M142,"")</f>
        <v/>
      </c>
    </row>
    <row r="146">
      <c r="A146" s="273">
        <f>IF(DATA_EO!A143&lt;&gt;"",""&amp;DATA_EO!A143,"")</f>
        <v/>
      </c>
      <c r="B146" s="273">
        <f>IF(A146&lt;&gt;"","EO","")</f>
        <v/>
      </c>
      <c r="C146" s="273">
        <f>IF(A146&lt;&gt;"",""&amp;DATA_EO!L143,"")</f>
        <v/>
      </c>
      <c r="D146" s="273">
        <f>IF(A146&lt;&gt;"",""&amp;DATA_EO!B143,"")</f>
        <v/>
      </c>
      <c r="E146" s="273">
        <f>IF(A146&lt;&gt;"",""&amp;DATA_EO!G143,"")</f>
        <v/>
      </c>
      <c r="F146" s="273">
        <f>IF(A146&lt;&gt;"",""&amp;DATA_EO!K143,"")</f>
        <v/>
      </c>
      <c r="G146" s="273">
        <f>IF(A146&lt;&gt;"",""&amp;DATA_EO!J143,"")</f>
        <v/>
      </c>
      <c r="H146" s="273">
        <f>IF(A146&lt;&gt;"",""&amp;DATA_EO!M143,"")</f>
        <v/>
      </c>
    </row>
    <row r="147">
      <c r="A147" s="273">
        <f>IF(DATA_EO!A144&lt;&gt;"",""&amp;DATA_EO!A144,"")</f>
        <v/>
      </c>
      <c r="B147" s="273">
        <f>IF(A147&lt;&gt;"","EO","")</f>
        <v/>
      </c>
      <c r="C147" s="273">
        <f>IF(A147&lt;&gt;"",""&amp;DATA_EO!L144,"")</f>
        <v/>
      </c>
      <c r="D147" s="273">
        <f>IF(A147&lt;&gt;"",""&amp;DATA_EO!B144,"")</f>
        <v/>
      </c>
      <c r="E147" s="273">
        <f>IF(A147&lt;&gt;"",""&amp;DATA_EO!G144,"")</f>
        <v/>
      </c>
      <c r="F147" s="273">
        <f>IF(A147&lt;&gt;"",""&amp;DATA_EO!K144,"")</f>
        <v/>
      </c>
      <c r="G147" s="273">
        <f>IF(A147&lt;&gt;"",""&amp;DATA_EO!J144,"")</f>
        <v/>
      </c>
      <c r="H147" s="273">
        <f>IF(A147&lt;&gt;"",""&amp;DATA_EO!M144,"")</f>
        <v/>
      </c>
    </row>
    <row r="148">
      <c r="A148" s="273">
        <f>IF(DATA_EO!A145&lt;&gt;"",""&amp;DATA_EO!A145,"")</f>
        <v/>
      </c>
      <c r="B148" s="273">
        <f>IF(A148&lt;&gt;"","EO","")</f>
        <v/>
      </c>
      <c r="C148" s="273">
        <f>IF(A148&lt;&gt;"",""&amp;DATA_EO!L145,"")</f>
        <v/>
      </c>
      <c r="D148" s="273">
        <f>IF(A148&lt;&gt;"",""&amp;DATA_EO!B145,"")</f>
        <v/>
      </c>
      <c r="E148" s="273">
        <f>IF(A148&lt;&gt;"",""&amp;DATA_EO!G145,"")</f>
        <v/>
      </c>
      <c r="F148" s="273">
        <f>IF(A148&lt;&gt;"",""&amp;DATA_EO!K145,"")</f>
        <v/>
      </c>
      <c r="G148" s="273">
        <f>IF(A148&lt;&gt;"",""&amp;DATA_EO!J145,"")</f>
        <v/>
      </c>
      <c r="H148" s="273">
        <f>IF(A148&lt;&gt;"",""&amp;DATA_EO!M145,"")</f>
        <v/>
      </c>
    </row>
    <row r="149">
      <c r="A149" s="273">
        <f>IF(DATA_EO!A146&lt;&gt;"",""&amp;DATA_EO!A146,"")</f>
        <v/>
      </c>
      <c r="B149" s="273">
        <f>IF(A149&lt;&gt;"","EO","")</f>
        <v/>
      </c>
      <c r="C149" s="273">
        <f>IF(A149&lt;&gt;"",""&amp;DATA_EO!L146,"")</f>
        <v/>
      </c>
      <c r="D149" s="273">
        <f>IF(A149&lt;&gt;"",""&amp;DATA_EO!B146,"")</f>
        <v/>
      </c>
      <c r="E149" s="273">
        <f>IF(A149&lt;&gt;"",""&amp;DATA_EO!G146,"")</f>
        <v/>
      </c>
      <c r="F149" s="273">
        <f>IF(A149&lt;&gt;"",""&amp;DATA_EO!K146,"")</f>
        <v/>
      </c>
      <c r="G149" s="273">
        <f>IF(A149&lt;&gt;"",""&amp;DATA_EO!J146,"")</f>
        <v/>
      </c>
      <c r="H149" s="273">
        <f>IF(A149&lt;&gt;"",""&amp;DATA_EO!M146,"")</f>
        <v/>
      </c>
    </row>
    <row r="150">
      <c r="A150" s="273">
        <f>IF(DATA_EO!A147&lt;&gt;"",""&amp;DATA_EO!A147,"")</f>
        <v/>
      </c>
      <c r="B150" s="273">
        <f>IF(A150&lt;&gt;"","EO","")</f>
        <v/>
      </c>
      <c r="C150" s="273">
        <f>IF(A150&lt;&gt;"",""&amp;DATA_EO!L147,"")</f>
        <v/>
      </c>
      <c r="D150" s="273">
        <f>IF(A150&lt;&gt;"",""&amp;DATA_EO!B147,"")</f>
        <v/>
      </c>
      <c r="E150" s="273">
        <f>IF(A150&lt;&gt;"",""&amp;DATA_EO!G147,"")</f>
        <v/>
      </c>
      <c r="F150" s="273">
        <f>IF(A150&lt;&gt;"",""&amp;DATA_EO!K147,"")</f>
        <v/>
      </c>
      <c r="G150" s="273">
        <f>IF(A150&lt;&gt;"",""&amp;DATA_EO!J147,"")</f>
        <v/>
      </c>
      <c r="H150" s="273">
        <f>IF(A150&lt;&gt;"",""&amp;DATA_EO!M147,"")</f>
        <v/>
      </c>
    </row>
    <row r="151">
      <c r="A151" s="273">
        <f>IF(DATA_EO!A148&lt;&gt;"",""&amp;DATA_EO!A148,"")</f>
        <v/>
      </c>
      <c r="B151" s="273">
        <f>IF(A151&lt;&gt;"","EO","")</f>
        <v/>
      </c>
      <c r="C151" s="273">
        <f>IF(A151&lt;&gt;"",""&amp;DATA_EO!L148,"")</f>
        <v/>
      </c>
      <c r="D151" s="273">
        <f>IF(A151&lt;&gt;"",""&amp;DATA_EO!B148,"")</f>
        <v/>
      </c>
      <c r="E151" s="273">
        <f>IF(A151&lt;&gt;"",""&amp;DATA_EO!G148,"")</f>
        <v/>
      </c>
      <c r="F151" s="273">
        <f>IF(A151&lt;&gt;"",""&amp;DATA_EO!K148,"")</f>
        <v/>
      </c>
      <c r="G151" s="273">
        <f>IF(A151&lt;&gt;"",""&amp;DATA_EO!J148,"")</f>
        <v/>
      </c>
      <c r="H151" s="273">
        <f>IF(A151&lt;&gt;"",""&amp;DATA_EO!M148,"")</f>
        <v/>
      </c>
    </row>
    <row r="152">
      <c r="A152" s="273">
        <f>IF(DATA_EO!A149&lt;&gt;"",""&amp;DATA_EO!A149,"")</f>
        <v/>
      </c>
      <c r="B152" s="273">
        <f>IF(A152&lt;&gt;"","EO","")</f>
        <v/>
      </c>
      <c r="C152" s="273">
        <f>IF(A152&lt;&gt;"",""&amp;DATA_EO!L149,"")</f>
        <v/>
      </c>
      <c r="D152" s="273">
        <f>IF(A152&lt;&gt;"",""&amp;DATA_EO!B149,"")</f>
        <v/>
      </c>
      <c r="E152" s="273">
        <f>IF(A152&lt;&gt;"",""&amp;DATA_EO!G149,"")</f>
        <v/>
      </c>
      <c r="F152" s="273">
        <f>IF(A152&lt;&gt;"",""&amp;DATA_EO!K149,"")</f>
        <v/>
      </c>
      <c r="G152" s="273">
        <f>IF(A152&lt;&gt;"",""&amp;DATA_EO!J149,"")</f>
        <v/>
      </c>
      <c r="H152" s="273">
        <f>IF(A152&lt;&gt;"",""&amp;DATA_EO!M149,"")</f>
        <v/>
      </c>
    </row>
    <row r="153">
      <c r="A153" s="273">
        <f>IF(DATA_EO!A150&lt;&gt;"",""&amp;DATA_EO!A150,"")</f>
        <v/>
      </c>
      <c r="B153" s="273">
        <f>IF(A153&lt;&gt;"","EO","")</f>
        <v/>
      </c>
      <c r="C153" s="273">
        <f>IF(A153&lt;&gt;"",""&amp;DATA_EO!L150,"")</f>
        <v/>
      </c>
      <c r="D153" s="273">
        <f>IF(A153&lt;&gt;"",""&amp;DATA_EO!B150,"")</f>
        <v/>
      </c>
      <c r="E153" s="273">
        <f>IF(A153&lt;&gt;"",""&amp;DATA_EO!G150,"")</f>
        <v/>
      </c>
      <c r="F153" s="273">
        <f>IF(A153&lt;&gt;"",""&amp;DATA_EO!K150,"")</f>
        <v/>
      </c>
      <c r="G153" s="273">
        <f>IF(A153&lt;&gt;"",""&amp;DATA_EO!J150,"")</f>
        <v/>
      </c>
      <c r="H153" s="273">
        <f>IF(A153&lt;&gt;"",""&amp;DATA_EO!M150,"")</f>
        <v/>
      </c>
    </row>
    <row r="154">
      <c r="A154" s="273">
        <f>IF(DATA_EO!A151&lt;&gt;"",""&amp;DATA_EO!A151,"")</f>
        <v/>
      </c>
      <c r="B154" s="273">
        <f>IF(A154&lt;&gt;"","EO","")</f>
        <v/>
      </c>
      <c r="C154" s="273">
        <f>IF(A154&lt;&gt;"",""&amp;DATA_EO!L151,"")</f>
        <v/>
      </c>
      <c r="D154" s="273">
        <f>IF(A154&lt;&gt;"",""&amp;DATA_EO!B151,"")</f>
        <v/>
      </c>
      <c r="E154" s="273">
        <f>IF(A154&lt;&gt;"",""&amp;DATA_EO!G151,"")</f>
        <v/>
      </c>
      <c r="F154" s="273">
        <f>IF(A154&lt;&gt;"",""&amp;DATA_EO!K151,"")</f>
        <v/>
      </c>
      <c r="G154" s="273">
        <f>IF(A154&lt;&gt;"",""&amp;DATA_EO!J151,"")</f>
        <v/>
      </c>
      <c r="H154" s="273">
        <f>IF(A154&lt;&gt;"",""&amp;DATA_EO!M151,"")</f>
        <v/>
      </c>
    </row>
    <row r="155">
      <c r="A155" s="273">
        <f>IF(DATA_EO!A152&lt;&gt;"",""&amp;DATA_EO!A152,"")</f>
        <v/>
      </c>
      <c r="B155" s="273">
        <f>IF(A155&lt;&gt;"","EO","")</f>
        <v/>
      </c>
      <c r="C155" s="273">
        <f>IF(A155&lt;&gt;"",""&amp;DATA_EO!L152,"")</f>
        <v/>
      </c>
      <c r="D155" s="273">
        <f>IF(A155&lt;&gt;"",""&amp;DATA_EO!B152,"")</f>
        <v/>
      </c>
      <c r="E155" s="273">
        <f>IF(A155&lt;&gt;"",""&amp;DATA_EO!G152,"")</f>
        <v/>
      </c>
      <c r="F155" s="273">
        <f>IF(A155&lt;&gt;"",""&amp;DATA_EO!K152,"")</f>
        <v/>
      </c>
      <c r="G155" s="273">
        <f>IF(A155&lt;&gt;"",""&amp;DATA_EO!J152,"")</f>
        <v/>
      </c>
      <c r="H155" s="273">
        <f>IF(A155&lt;&gt;"",""&amp;DATA_EO!M152,"")</f>
        <v/>
      </c>
    </row>
    <row r="156">
      <c r="A156" s="273">
        <f>IF(DATA_EO!A153&lt;&gt;"",""&amp;DATA_EO!A153,"")</f>
        <v/>
      </c>
      <c r="B156" s="273">
        <f>IF(A156&lt;&gt;"","EO","")</f>
        <v/>
      </c>
      <c r="C156" s="273">
        <f>IF(A156&lt;&gt;"",""&amp;DATA_EO!L153,"")</f>
        <v/>
      </c>
      <c r="D156" s="273">
        <f>IF(A156&lt;&gt;"",""&amp;DATA_EO!B153,"")</f>
        <v/>
      </c>
      <c r="E156" s="273">
        <f>IF(A156&lt;&gt;"",""&amp;DATA_EO!G153,"")</f>
        <v/>
      </c>
      <c r="F156" s="273">
        <f>IF(A156&lt;&gt;"",""&amp;DATA_EO!K153,"")</f>
        <v/>
      </c>
      <c r="G156" s="273">
        <f>IF(A156&lt;&gt;"",""&amp;DATA_EO!J153,"")</f>
        <v/>
      </c>
      <c r="H156" s="273">
        <f>IF(A156&lt;&gt;"",""&amp;DATA_EO!M153,"")</f>
        <v/>
      </c>
    </row>
    <row r="157">
      <c r="A157" s="273">
        <f>IF(DATA_EO!A154&lt;&gt;"",""&amp;DATA_EO!A154,"")</f>
        <v/>
      </c>
      <c r="B157" s="273">
        <f>IF(A157&lt;&gt;"","EO","")</f>
        <v/>
      </c>
      <c r="C157" s="273">
        <f>IF(A157&lt;&gt;"",""&amp;DATA_EO!L154,"")</f>
        <v/>
      </c>
      <c r="D157" s="273">
        <f>IF(A157&lt;&gt;"",""&amp;DATA_EO!B154,"")</f>
        <v/>
      </c>
      <c r="E157" s="273">
        <f>IF(A157&lt;&gt;"",""&amp;DATA_EO!G154,"")</f>
        <v/>
      </c>
      <c r="F157" s="273">
        <f>IF(A157&lt;&gt;"",""&amp;DATA_EO!K154,"")</f>
        <v/>
      </c>
      <c r="G157" s="273">
        <f>IF(A157&lt;&gt;"",""&amp;DATA_EO!J154,"")</f>
        <v/>
      </c>
      <c r="H157" s="273">
        <f>IF(A157&lt;&gt;"",""&amp;DATA_EO!M154,"")</f>
        <v/>
      </c>
    </row>
    <row r="158">
      <c r="A158" s="273">
        <f>IF(DATA_EO!A155&lt;&gt;"",""&amp;DATA_EO!A155,"")</f>
        <v/>
      </c>
      <c r="B158" s="273">
        <f>IF(A158&lt;&gt;"","EO","")</f>
        <v/>
      </c>
      <c r="C158" s="273">
        <f>IF(A158&lt;&gt;"",""&amp;DATA_EO!L155,"")</f>
        <v/>
      </c>
      <c r="D158" s="273">
        <f>IF(A158&lt;&gt;"",""&amp;DATA_EO!B155,"")</f>
        <v/>
      </c>
      <c r="E158" s="273">
        <f>IF(A158&lt;&gt;"",""&amp;DATA_EO!G155,"")</f>
        <v/>
      </c>
      <c r="F158" s="273">
        <f>IF(A158&lt;&gt;"",""&amp;DATA_EO!K155,"")</f>
        <v/>
      </c>
      <c r="G158" s="273">
        <f>IF(A158&lt;&gt;"",""&amp;DATA_EO!J155,"")</f>
        <v/>
      </c>
      <c r="H158" s="273">
        <f>IF(A158&lt;&gt;"",""&amp;DATA_EO!M155,"")</f>
        <v/>
      </c>
    </row>
    <row r="159">
      <c r="A159" s="273">
        <f>IF(DATA_EO!A156&lt;&gt;"",""&amp;DATA_EO!A156,"")</f>
        <v/>
      </c>
      <c r="B159" s="273">
        <f>IF(A159&lt;&gt;"","EO","")</f>
        <v/>
      </c>
      <c r="C159" s="273">
        <f>IF(A159&lt;&gt;"",""&amp;DATA_EO!L156,"")</f>
        <v/>
      </c>
      <c r="D159" s="273">
        <f>IF(A159&lt;&gt;"",""&amp;DATA_EO!B156,"")</f>
        <v/>
      </c>
      <c r="E159" s="273">
        <f>IF(A159&lt;&gt;"",""&amp;DATA_EO!G156,"")</f>
        <v/>
      </c>
      <c r="F159" s="273">
        <f>IF(A159&lt;&gt;"",""&amp;DATA_EO!K156,"")</f>
        <v/>
      </c>
      <c r="G159" s="273">
        <f>IF(A159&lt;&gt;"",""&amp;DATA_EO!J156,"")</f>
        <v/>
      </c>
      <c r="H159" s="273">
        <f>IF(A159&lt;&gt;"",""&amp;DATA_EO!M156,"")</f>
        <v/>
      </c>
    </row>
    <row r="160">
      <c r="A160" s="273">
        <f>IF(DATA_EO!A157&lt;&gt;"",""&amp;DATA_EO!A157,"")</f>
        <v/>
      </c>
      <c r="B160" s="273">
        <f>IF(A160&lt;&gt;"","EO","")</f>
        <v/>
      </c>
      <c r="C160" s="273">
        <f>IF(A160&lt;&gt;"",""&amp;DATA_EO!L157,"")</f>
        <v/>
      </c>
      <c r="D160" s="273">
        <f>IF(A160&lt;&gt;"",""&amp;DATA_EO!B157,"")</f>
        <v/>
      </c>
      <c r="E160" s="273">
        <f>IF(A160&lt;&gt;"",""&amp;DATA_EO!G157,"")</f>
        <v/>
      </c>
      <c r="F160" s="273">
        <f>IF(A160&lt;&gt;"",""&amp;DATA_EO!K157,"")</f>
        <v/>
      </c>
      <c r="G160" s="273">
        <f>IF(A160&lt;&gt;"",""&amp;DATA_EO!J157,"")</f>
        <v/>
      </c>
      <c r="H160" s="273">
        <f>IF(A160&lt;&gt;"",""&amp;DATA_EO!M157,"")</f>
        <v/>
      </c>
    </row>
    <row r="161">
      <c r="A161" s="273">
        <f>IF(DATA_EO!A158&lt;&gt;"",""&amp;DATA_EO!A158,"")</f>
        <v/>
      </c>
      <c r="B161" s="273">
        <f>IF(A161&lt;&gt;"","EO","")</f>
        <v/>
      </c>
      <c r="C161" s="273">
        <f>IF(A161&lt;&gt;"",""&amp;DATA_EO!L158,"")</f>
        <v/>
      </c>
      <c r="D161" s="273">
        <f>IF(A161&lt;&gt;"",""&amp;DATA_EO!B158,"")</f>
        <v/>
      </c>
      <c r="E161" s="273">
        <f>IF(A161&lt;&gt;"",""&amp;DATA_EO!G158,"")</f>
        <v/>
      </c>
      <c r="F161" s="273">
        <f>IF(A161&lt;&gt;"",""&amp;DATA_EO!K158,"")</f>
        <v/>
      </c>
      <c r="G161" s="273">
        <f>IF(A161&lt;&gt;"",""&amp;DATA_EO!J158,"")</f>
        <v/>
      </c>
      <c r="H161" s="273">
        <f>IF(A161&lt;&gt;"",""&amp;DATA_EO!M158,"")</f>
        <v/>
      </c>
    </row>
    <row r="162">
      <c r="A162" s="273">
        <f>IF(DATA_EO!A159&lt;&gt;"",""&amp;DATA_EO!A159,"")</f>
        <v/>
      </c>
      <c r="B162" s="273">
        <f>IF(A162&lt;&gt;"","EO","")</f>
        <v/>
      </c>
      <c r="C162" s="273">
        <f>IF(A162&lt;&gt;"",""&amp;DATA_EO!L159,"")</f>
        <v/>
      </c>
      <c r="D162" s="273">
        <f>IF(A162&lt;&gt;"",""&amp;DATA_EO!B159,"")</f>
        <v/>
      </c>
      <c r="E162" s="273">
        <f>IF(A162&lt;&gt;"",""&amp;DATA_EO!G159,"")</f>
        <v/>
      </c>
      <c r="F162" s="273">
        <f>IF(A162&lt;&gt;"",""&amp;DATA_EO!K159,"")</f>
        <v/>
      </c>
      <c r="G162" s="273">
        <f>IF(A162&lt;&gt;"",""&amp;DATA_EO!J159,"")</f>
        <v/>
      </c>
      <c r="H162" s="273">
        <f>IF(A162&lt;&gt;"",""&amp;DATA_EO!M159,"")</f>
        <v/>
      </c>
    </row>
    <row r="163">
      <c r="A163" s="273">
        <f>IF(DATA_EO!A160&lt;&gt;"",""&amp;DATA_EO!A160,"")</f>
        <v/>
      </c>
      <c r="B163" s="273">
        <f>IF(A163&lt;&gt;"","EO","")</f>
        <v/>
      </c>
      <c r="C163" s="273">
        <f>IF(A163&lt;&gt;"",""&amp;DATA_EO!L160,"")</f>
        <v/>
      </c>
      <c r="D163" s="273">
        <f>IF(A163&lt;&gt;"",""&amp;DATA_EO!B160,"")</f>
        <v/>
      </c>
      <c r="E163" s="273">
        <f>IF(A163&lt;&gt;"",""&amp;DATA_EO!G160,"")</f>
        <v/>
      </c>
      <c r="F163" s="273">
        <f>IF(A163&lt;&gt;"",""&amp;DATA_EO!K160,"")</f>
        <v/>
      </c>
      <c r="G163" s="273">
        <f>IF(A163&lt;&gt;"",""&amp;DATA_EO!J160,"")</f>
        <v/>
      </c>
      <c r="H163" s="273">
        <f>IF(A163&lt;&gt;"",""&amp;DATA_EO!M160,"")</f>
        <v/>
      </c>
    </row>
    <row r="164">
      <c r="A164" s="273">
        <f>IF(DATA_EO!A161&lt;&gt;"",""&amp;DATA_EO!A161,"")</f>
        <v/>
      </c>
      <c r="B164" s="273">
        <f>IF(A164&lt;&gt;"","EO","")</f>
        <v/>
      </c>
      <c r="C164" s="273">
        <f>IF(A164&lt;&gt;"",""&amp;DATA_EO!L161,"")</f>
        <v/>
      </c>
      <c r="D164" s="273">
        <f>IF(A164&lt;&gt;"",""&amp;DATA_EO!B161,"")</f>
        <v/>
      </c>
      <c r="E164" s="273">
        <f>IF(A164&lt;&gt;"",""&amp;DATA_EO!G161,"")</f>
        <v/>
      </c>
      <c r="F164" s="273">
        <f>IF(A164&lt;&gt;"",""&amp;DATA_EO!K161,"")</f>
        <v/>
      </c>
      <c r="G164" s="273">
        <f>IF(A164&lt;&gt;"",""&amp;DATA_EO!J161,"")</f>
        <v/>
      </c>
      <c r="H164" s="273">
        <f>IF(A164&lt;&gt;"",""&amp;DATA_EO!M161,"")</f>
        <v/>
      </c>
    </row>
    <row r="165">
      <c r="A165" s="273">
        <f>IF(DATA_EO!A162&lt;&gt;"",""&amp;DATA_EO!A162,"")</f>
        <v/>
      </c>
      <c r="B165" s="273">
        <f>IF(A165&lt;&gt;"","EO","")</f>
        <v/>
      </c>
      <c r="C165" s="273">
        <f>IF(A165&lt;&gt;"",""&amp;DATA_EO!L162,"")</f>
        <v/>
      </c>
      <c r="D165" s="273">
        <f>IF(A165&lt;&gt;"",""&amp;DATA_EO!B162,"")</f>
        <v/>
      </c>
      <c r="E165" s="273">
        <f>IF(A165&lt;&gt;"",""&amp;DATA_EO!G162,"")</f>
        <v/>
      </c>
      <c r="F165" s="273">
        <f>IF(A165&lt;&gt;"",""&amp;DATA_EO!K162,"")</f>
        <v/>
      </c>
      <c r="G165" s="273">
        <f>IF(A165&lt;&gt;"",""&amp;DATA_EO!J162,"")</f>
        <v/>
      </c>
      <c r="H165" s="273">
        <f>IF(A165&lt;&gt;"",""&amp;DATA_EO!M162,"")</f>
        <v/>
      </c>
    </row>
    <row r="166">
      <c r="A166" s="273">
        <f>IF(DATA_EO!A163&lt;&gt;"",""&amp;DATA_EO!A163,"")</f>
        <v/>
      </c>
      <c r="B166" s="273">
        <f>IF(A166&lt;&gt;"","EO","")</f>
        <v/>
      </c>
      <c r="C166" s="273">
        <f>IF(A166&lt;&gt;"",""&amp;DATA_EO!L163,"")</f>
        <v/>
      </c>
      <c r="D166" s="273">
        <f>IF(A166&lt;&gt;"",""&amp;DATA_EO!B163,"")</f>
        <v/>
      </c>
      <c r="E166" s="273">
        <f>IF(A166&lt;&gt;"",""&amp;DATA_EO!G163,"")</f>
        <v/>
      </c>
      <c r="F166" s="273">
        <f>IF(A166&lt;&gt;"",""&amp;DATA_EO!K163,"")</f>
        <v/>
      </c>
      <c r="G166" s="273">
        <f>IF(A166&lt;&gt;"",""&amp;DATA_EO!J163,"")</f>
        <v/>
      </c>
      <c r="H166" s="273">
        <f>IF(A166&lt;&gt;"",""&amp;DATA_EO!M163,"")</f>
        <v/>
      </c>
    </row>
    <row r="167">
      <c r="A167" s="273">
        <f>IF(DATA_EO!A164&lt;&gt;"",""&amp;DATA_EO!A164,"")</f>
        <v/>
      </c>
      <c r="B167" s="273">
        <f>IF(A167&lt;&gt;"","EO","")</f>
        <v/>
      </c>
      <c r="C167" s="273">
        <f>IF(A167&lt;&gt;"",""&amp;DATA_EO!L164,"")</f>
        <v/>
      </c>
      <c r="D167" s="273">
        <f>IF(A167&lt;&gt;"",""&amp;DATA_EO!B164,"")</f>
        <v/>
      </c>
      <c r="E167" s="273">
        <f>IF(A167&lt;&gt;"",""&amp;DATA_EO!G164,"")</f>
        <v/>
      </c>
      <c r="F167" s="273">
        <f>IF(A167&lt;&gt;"",""&amp;DATA_EO!K164,"")</f>
        <v/>
      </c>
      <c r="G167" s="273">
        <f>IF(A167&lt;&gt;"",""&amp;DATA_EO!J164,"")</f>
        <v/>
      </c>
      <c r="H167" s="273">
        <f>IF(A167&lt;&gt;"",""&amp;DATA_EO!M164,"")</f>
        <v/>
      </c>
    </row>
    <row r="168">
      <c r="A168" s="273">
        <f>IF(DATA_EO!A165&lt;&gt;"",""&amp;DATA_EO!A165,"")</f>
        <v/>
      </c>
      <c r="B168" s="273">
        <f>IF(A168&lt;&gt;"","EO","")</f>
        <v/>
      </c>
      <c r="C168" s="273">
        <f>IF(A168&lt;&gt;"",""&amp;DATA_EO!L165,"")</f>
        <v/>
      </c>
      <c r="D168" s="273">
        <f>IF(A168&lt;&gt;"",""&amp;DATA_EO!B165,"")</f>
        <v/>
      </c>
      <c r="E168" s="273">
        <f>IF(A168&lt;&gt;"",""&amp;DATA_EO!G165,"")</f>
        <v/>
      </c>
      <c r="F168" s="273">
        <f>IF(A168&lt;&gt;"",""&amp;DATA_EO!K165,"")</f>
        <v/>
      </c>
      <c r="G168" s="273">
        <f>IF(A168&lt;&gt;"",""&amp;DATA_EO!J165,"")</f>
        <v/>
      </c>
      <c r="H168" s="273">
        <f>IF(A168&lt;&gt;"",""&amp;DATA_EO!M165,"")</f>
        <v/>
      </c>
    </row>
    <row r="169">
      <c r="A169" s="273">
        <f>IF(DATA_EO!A166&lt;&gt;"",""&amp;DATA_EO!A166,"")</f>
        <v/>
      </c>
      <c r="B169" s="273">
        <f>IF(A169&lt;&gt;"","EO","")</f>
        <v/>
      </c>
      <c r="C169" s="273">
        <f>IF(A169&lt;&gt;"",""&amp;DATA_EO!L166,"")</f>
        <v/>
      </c>
      <c r="D169" s="273">
        <f>IF(A169&lt;&gt;"",""&amp;DATA_EO!B166,"")</f>
        <v/>
      </c>
      <c r="E169" s="273">
        <f>IF(A169&lt;&gt;"",""&amp;DATA_EO!G166,"")</f>
        <v/>
      </c>
      <c r="F169" s="273">
        <f>IF(A169&lt;&gt;"",""&amp;DATA_EO!K166,"")</f>
        <v/>
      </c>
      <c r="G169" s="273">
        <f>IF(A169&lt;&gt;"",""&amp;DATA_EO!J166,"")</f>
        <v/>
      </c>
      <c r="H169" s="273">
        <f>IF(A169&lt;&gt;"",""&amp;DATA_EO!M166,"")</f>
        <v/>
      </c>
    </row>
    <row r="170">
      <c r="A170" s="273">
        <f>IF(DATA_EO!A167&lt;&gt;"",""&amp;DATA_EO!A167,"")</f>
        <v/>
      </c>
      <c r="B170" s="273">
        <f>IF(A170&lt;&gt;"","EO","")</f>
        <v/>
      </c>
      <c r="C170" s="273">
        <f>IF(A170&lt;&gt;"",""&amp;DATA_EO!L167,"")</f>
        <v/>
      </c>
      <c r="D170" s="273">
        <f>IF(A170&lt;&gt;"",""&amp;DATA_EO!B167,"")</f>
        <v/>
      </c>
      <c r="E170" s="273">
        <f>IF(A170&lt;&gt;"",""&amp;DATA_EO!G167,"")</f>
        <v/>
      </c>
      <c r="F170" s="273">
        <f>IF(A170&lt;&gt;"",""&amp;DATA_EO!K167,"")</f>
        <v/>
      </c>
      <c r="G170" s="273">
        <f>IF(A170&lt;&gt;"",""&amp;DATA_EO!J167,"")</f>
        <v/>
      </c>
      <c r="H170" s="273">
        <f>IF(A170&lt;&gt;"",""&amp;DATA_EO!M167,"")</f>
        <v/>
      </c>
    </row>
    <row r="171">
      <c r="A171" s="273">
        <f>IF(DATA_EO!A168&lt;&gt;"",""&amp;DATA_EO!A168,"")</f>
        <v/>
      </c>
      <c r="B171" s="273">
        <f>IF(A171&lt;&gt;"","EO","")</f>
        <v/>
      </c>
      <c r="C171" s="273">
        <f>IF(A171&lt;&gt;"",""&amp;DATA_EO!L168,"")</f>
        <v/>
      </c>
      <c r="D171" s="273">
        <f>IF(A171&lt;&gt;"",""&amp;DATA_EO!B168,"")</f>
        <v/>
      </c>
      <c r="E171" s="273">
        <f>IF(A171&lt;&gt;"",""&amp;DATA_EO!G168,"")</f>
        <v/>
      </c>
      <c r="F171" s="273">
        <f>IF(A171&lt;&gt;"",""&amp;DATA_EO!K168,"")</f>
        <v/>
      </c>
      <c r="G171" s="273">
        <f>IF(A171&lt;&gt;"",""&amp;DATA_EO!J168,"")</f>
        <v/>
      </c>
      <c r="H171" s="273">
        <f>IF(A171&lt;&gt;"",""&amp;DATA_EO!M168,"")</f>
        <v/>
      </c>
    </row>
    <row r="172">
      <c r="A172" s="273">
        <f>IF(DATA_EO!A169&lt;&gt;"",""&amp;DATA_EO!A169,"")</f>
        <v/>
      </c>
      <c r="B172" s="273">
        <f>IF(A172&lt;&gt;"","EO","")</f>
        <v/>
      </c>
      <c r="C172" s="273">
        <f>IF(A172&lt;&gt;"",""&amp;DATA_EO!L169,"")</f>
        <v/>
      </c>
      <c r="D172" s="273">
        <f>IF(A172&lt;&gt;"",""&amp;DATA_EO!B169,"")</f>
        <v/>
      </c>
      <c r="E172" s="273">
        <f>IF(A172&lt;&gt;"",""&amp;DATA_EO!G169,"")</f>
        <v/>
      </c>
      <c r="F172" s="273">
        <f>IF(A172&lt;&gt;"",""&amp;DATA_EO!K169,"")</f>
        <v/>
      </c>
      <c r="G172" s="273">
        <f>IF(A172&lt;&gt;"",""&amp;DATA_EO!J169,"")</f>
        <v/>
      </c>
      <c r="H172" s="273">
        <f>IF(A172&lt;&gt;"",""&amp;DATA_EO!M169,"")</f>
        <v/>
      </c>
    </row>
    <row r="173">
      <c r="A173" s="273">
        <f>IF(DATA_EO!A170&lt;&gt;"",""&amp;DATA_EO!A170,"")</f>
        <v/>
      </c>
      <c r="B173" s="273">
        <f>IF(A173&lt;&gt;"","EO","")</f>
        <v/>
      </c>
      <c r="C173" s="273">
        <f>IF(A173&lt;&gt;"",""&amp;DATA_EO!L170,"")</f>
        <v/>
      </c>
      <c r="D173" s="273">
        <f>IF(A173&lt;&gt;"",""&amp;DATA_EO!B170,"")</f>
        <v/>
      </c>
      <c r="E173" s="273">
        <f>IF(A173&lt;&gt;"",""&amp;DATA_EO!G170,"")</f>
        <v/>
      </c>
      <c r="F173" s="273">
        <f>IF(A173&lt;&gt;"",""&amp;DATA_EO!K170,"")</f>
        <v/>
      </c>
      <c r="G173" s="273">
        <f>IF(A173&lt;&gt;"",""&amp;DATA_EO!J170,"")</f>
        <v/>
      </c>
      <c r="H173" s="273">
        <f>IF(A173&lt;&gt;"",""&amp;DATA_EO!M170,"")</f>
        <v/>
      </c>
    </row>
    <row r="174">
      <c r="A174" s="273">
        <f>IF(DATA_EO!A171&lt;&gt;"",""&amp;DATA_EO!A171,"")</f>
        <v/>
      </c>
      <c r="B174" s="273">
        <f>IF(A174&lt;&gt;"","EO","")</f>
        <v/>
      </c>
      <c r="C174" s="273">
        <f>IF(A174&lt;&gt;"",""&amp;DATA_EO!L171,"")</f>
        <v/>
      </c>
      <c r="D174" s="273">
        <f>IF(A174&lt;&gt;"",""&amp;DATA_EO!B171,"")</f>
        <v/>
      </c>
      <c r="E174" s="273">
        <f>IF(A174&lt;&gt;"",""&amp;DATA_EO!G171,"")</f>
        <v/>
      </c>
      <c r="F174" s="273">
        <f>IF(A174&lt;&gt;"",""&amp;DATA_EO!K171,"")</f>
        <v/>
      </c>
      <c r="G174" s="273">
        <f>IF(A174&lt;&gt;"",""&amp;DATA_EO!J171,"")</f>
        <v/>
      </c>
      <c r="H174" s="273">
        <f>IF(A174&lt;&gt;"",""&amp;DATA_EO!M171,"")</f>
        <v/>
      </c>
    </row>
    <row r="175">
      <c r="A175" s="273">
        <f>IF(DATA_EO!A172&lt;&gt;"",""&amp;DATA_EO!A172,"")</f>
        <v/>
      </c>
      <c r="B175" s="273">
        <f>IF(A175&lt;&gt;"","EO","")</f>
        <v/>
      </c>
      <c r="C175" s="273">
        <f>IF(A175&lt;&gt;"",""&amp;DATA_EO!L172,"")</f>
        <v/>
      </c>
      <c r="D175" s="273">
        <f>IF(A175&lt;&gt;"",""&amp;DATA_EO!B172,"")</f>
        <v/>
      </c>
      <c r="E175" s="273">
        <f>IF(A175&lt;&gt;"",""&amp;DATA_EO!G172,"")</f>
        <v/>
      </c>
      <c r="F175" s="273">
        <f>IF(A175&lt;&gt;"",""&amp;DATA_EO!K172,"")</f>
        <v/>
      </c>
      <c r="G175" s="273">
        <f>IF(A175&lt;&gt;"",""&amp;DATA_EO!J172,"")</f>
        <v/>
      </c>
      <c r="H175" s="273">
        <f>IF(A175&lt;&gt;"",""&amp;DATA_EO!M172,"")</f>
        <v/>
      </c>
    </row>
    <row r="176">
      <c r="A176" s="273">
        <f>IF(DATA_EO!A173&lt;&gt;"",""&amp;DATA_EO!A173,"")</f>
        <v/>
      </c>
      <c r="B176" s="273">
        <f>IF(A176&lt;&gt;"","EO","")</f>
        <v/>
      </c>
      <c r="C176" s="273">
        <f>IF(A176&lt;&gt;"",""&amp;DATA_EO!L173,"")</f>
        <v/>
      </c>
      <c r="D176" s="273">
        <f>IF(A176&lt;&gt;"",""&amp;DATA_EO!B173,"")</f>
        <v/>
      </c>
      <c r="E176" s="273">
        <f>IF(A176&lt;&gt;"",""&amp;DATA_EO!G173,"")</f>
        <v/>
      </c>
      <c r="F176" s="273">
        <f>IF(A176&lt;&gt;"",""&amp;DATA_EO!K173,"")</f>
        <v/>
      </c>
      <c r="G176" s="273">
        <f>IF(A176&lt;&gt;"",""&amp;DATA_EO!J173,"")</f>
        <v/>
      </c>
      <c r="H176" s="273">
        <f>IF(A176&lt;&gt;"",""&amp;DATA_EO!M173,"")</f>
        <v/>
      </c>
    </row>
    <row r="177">
      <c r="A177" s="273">
        <f>IF(DATA_EO!A174&lt;&gt;"",""&amp;DATA_EO!A174,"")</f>
        <v/>
      </c>
      <c r="B177" s="273">
        <f>IF(A177&lt;&gt;"","EO","")</f>
        <v/>
      </c>
      <c r="C177" s="273">
        <f>IF(A177&lt;&gt;"",""&amp;DATA_EO!L174,"")</f>
        <v/>
      </c>
      <c r="D177" s="273">
        <f>IF(A177&lt;&gt;"",""&amp;DATA_EO!B174,"")</f>
        <v/>
      </c>
      <c r="E177" s="273">
        <f>IF(A177&lt;&gt;"",""&amp;DATA_EO!G174,"")</f>
        <v/>
      </c>
      <c r="F177" s="273">
        <f>IF(A177&lt;&gt;"",""&amp;DATA_EO!K174,"")</f>
        <v/>
      </c>
      <c r="G177" s="273">
        <f>IF(A177&lt;&gt;"",""&amp;DATA_EO!J174,"")</f>
        <v/>
      </c>
      <c r="H177" s="273">
        <f>IF(A177&lt;&gt;"",""&amp;DATA_EO!M174,"")</f>
        <v/>
      </c>
    </row>
    <row r="178">
      <c r="A178" s="273">
        <f>IF(DATA_EO!A175&lt;&gt;"",""&amp;DATA_EO!A175,"")</f>
        <v/>
      </c>
      <c r="B178" s="273">
        <f>IF(A178&lt;&gt;"","EO","")</f>
        <v/>
      </c>
      <c r="C178" s="273">
        <f>IF(A178&lt;&gt;"",""&amp;DATA_EO!L175,"")</f>
        <v/>
      </c>
      <c r="D178" s="273">
        <f>IF(A178&lt;&gt;"",""&amp;DATA_EO!B175,"")</f>
        <v/>
      </c>
      <c r="E178" s="273">
        <f>IF(A178&lt;&gt;"",""&amp;DATA_EO!G175,"")</f>
        <v/>
      </c>
      <c r="F178" s="273">
        <f>IF(A178&lt;&gt;"",""&amp;DATA_EO!K175,"")</f>
        <v/>
      </c>
      <c r="G178" s="273">
        <f>IF(A178&lt;&gt;"",""&amp;DATA_EO!J175,"")</f>
        <v/>
      </c>
      <c r="H178" s="273">
        <f>IF(A178&lt;&gt;"",""&amp;DATA_EO!M175,"")</f>
        <v/>
      </c>
    </row>
    <row r="179">
      <c r="A179" s="273">
        <f>IF(DATA_EO!A176&lt;&gt;"",""&amp;DATA_EO!A176,"")</f>
        <v/>
      </c>
      <c r="B179" s="273">
        <f>IF(A179&lt;&gt;"","EO","")</f>
        <v/>
      </c>
      <c r="C179" s="273">
        <f>IF(A179&lt;&gt;"",""&amp;DATA_EO!L176,"")</f>
        <v/>
      </c>
      <c r="D179" s="273">
        <f>IF(A179&lt;&gt;"",""&amp;DATA_EO!B176,"")</f>
        <v/>
      </c>
      <c r="E179" s="273">
        <f>IF(A179&lt;&gt;"",""&amp;DATA_EO!G176,"")</f>
        <v/>
      </c>
      <c r="F179" s="273">
        <f>IF(A179&lt;&gt;"",""&amp;DATA_EO!K176,"")</f>
        <v/>
      </c>
      <c r="G179" s="273">
        <f>IF(A179&lt;&gt;"",""&amp;DATA_EO!J176,"")</f>
        <v/>
      </c>
      <c r="H179" s="273">
        <f>IF(A179&lt;&gt;"",""&amp;DATA_EO!M176,"")</f>
        <v/>
      </c>
    </row>
    <row r="180">
      <c r="A180" s="273">
        <f>IF(DATA_EO!A177&lt;&gt;"",""&amp;DATA_EO!A177,"")</f>
        <v/>
      </c>
      <c r="B180" s="273">
        <f>IF(A180&lt;&gt;"","EO","")</f>
        <v/>
      </c>
      <c r="C180" s="273">
        <f>IF(A180&lt;&gt;"",""&amp;DATA_EO!L177,"")</f>
        <v/>
      </c>
      <c r="D180" s="273">
        <f>IF(A180&lt;&gt;"",""&amp;DATA_EO!B177,"")</f>
        <v/>
      </c>
      <c r="E180" s="273">
        <f>IF(A180&lt;&gt;"",""&amp;DATA_EO!G177,"")</f>
        <v/>
      </c>
      <c r="F180" s="273">
        <f>IF(A180&lt;&gt;"",""&amp;DATA_EO!K177,"")</f>
        <v/>
      </c>
      <c r="G180" s="273">
        <f>IF(A180&lt;&gt;"",""&amp;DATA_EO!J177,"")</f>
        <v/>
      </c>
      <c r="H180" s="273">
        <f>IF(A180&lt;&gt;"",""&amp;DATA_EO!M177,"")</f>
        <v/>
      </c>
    </row>
    <row r="181">
      <c r="A181" s="273">
        <f>IF(DATA_EO!A178&lt;&gt;"",""&amp;DATA_EO!A178,"")</f>
        <v/>
      </c>
      <c r="B181" s="273">
        <f>IF(A181&lt;&gt;"","EO","")</f>
        <v/>
      </c>
      <c r="C181" s="273">
        <f>IF(A181&lt;&gt;"",""&amp;DATA_EO!L178,"")</f>
        <v/>
      </c>
      <c r="D181" s="273">
        <f>IF(A181&lt;&gt;"",""&amp;DATA_EO!B178,"")</f>
        <v/>
      </c>
      <c r="E181" s="273">
        <f>IF(A181&lt;&gt;"",""&amp;DATA_EO!G178,"")</f>
        <v/>
      </c>
      <c r="F181" s="273">
        <f>IF(A181&lt;&gt;"",""&amp;DATA_EO!K178,"")</f>
        <v/>
      </c>
      <c r="G181" s="273">
        <f>IF(A181&lt;&gt;"",""&amp;DATA_EO!J178,"")</f>
        <v/>
      </c>
      <c r="H181" s="273">
        <f>IF(A181&lt;&gt;"",""&amp;DATA_EO!M178,"")</f>
        <v/>
      </c>
    </row>
    <row r="182">
      <c r="A182" s="273">
        <f>IF(DATA_EO!A179&lt;&gt;"",""&amp;DATA_EO!A179,"")</f>
        <v/>
      </c>
      <c r="B182" s="273">
        <f>IF(A182&lt;&gt;"","EO","")</f>
        <v/>
      </c>
      <c r="C182" s="273">
        <f>IF(A182&lt;&gt;"",""&amp;DATA_EO!L179,"")</f>
        <v/>
      </c>
      <c r="D182" s="273">
        <f>IF(A182&lt;&gt;"",""&amp;DATA_EO!B179,"")</f>
        <v/>
      </c>
      <c r="E182" s="273">
        <f>IF(A182&lt;&gt;"",""&amp;DATA_EO!G179,"")</f>
        <v/>
      </c>
      <c r="F182" s="273">
        <f>IF(A182&lt;&gt;"",""&amp;DATA_EO!K179,"")</f>
        <v/>
      </c>
      <c r="G182" s="273">
        <f>IF(A182&lt;&gt;"",""&amp;DATA_EO!J179,"")</f>
        <v/>
      </c>
      <c r="H182" s="273">
        <f>IF(A182&lt;&gt;"",""&amp;DATA_EO!M179,"")</f>
        <v/>
      </c>
    </row>
    <row r="183">
      <c r="A183" s="273">
        <f>IF(DATA_EO!A180&lt;&gt;"",""&amp;DATA_EO!A180,"")</f>
        <v/>
      </c>
      <c r="B183" s="273">
        <f>IF(A183&lt;&gt;"","EO","")</f>
        <v/>
      </c>
      <c r="C183" s="273">
        <f>IF(A183&lt;&gt;"",""&amp;DATA_EO!L180,"")</f>
        <v/>
      </c>
      <c r="D183" s="273">
        <f>IF(A183&lt;&gt;"",""&amp;DATA_EO!B180,"")</f>
        <v/>
      </c>
      <c r="E183" s="273">
        <f>IF(A183&lt;&gt;"",""&amp;DATA_EO!G180,"")</f>
        <v/>
      </c>
      <c r="F183" s="273">
        <f>IF(A183&lt;&gt;"",""&amp;DATA_EO!K180,"")</f>
        <v/>
      </c>
      <c r="G183" s="273">
        <f>IF(A183&lt;&gt;"",""&amp;DATA_EO!J180,"")</f>
        <v/>
      </c>
      <c r="H183" s="273">
        <f>IF(A183&lt;&gt;"",""&amp;DATA_EO!M180,"")</f>
        <v/>
      </c>
    </row>
    <row r="184">
      <c r="A184" s="273">
        <f>IF(DATA_EO!A181&lt;&gt;"",""&amp;DATA_EO!A181,"")</f>
        <v/>
      </c>
      <c r="B184" s="273">
        <f>IF(A184&lt;&gt;"","EO","")</f>
        <v/>
      </c>
      <c r="C184" s="273">
        <f>IF(A184&lt;&gt;"",""&amp;DATA_EO!L181,"")</f>
        <v/>
      </c>
      <c r="D184" s="273">
        <f>IF(A184&lt;&gt;"",""&amp;DATA_EO!B181,"")</f>
        <v/>
      </c>
      <c r="E184" s="273">
        <f>IF(A184&lt;&gt;"",""&amp;DATA_EO!G181,"")</f>
        <v/>
      </c>
      <c r="F184" s="273">
        <f>IF(A184&lt;&gt;"",""&amp;DATA_EO!K181,"")</f>
        <v/>
      </c>
      <c r="G184" s="273">
        <f>IF(A184&lt;&gt;"",""&amp;DATA_EO!J181,"")</f>
        <v/>
      </c>
      <c r="H184" s="273">
        <f>IF(A184&lt;&gt;"",""&amp;DATA_EO!M181,"")</f>
        <v/>
      </c>
    </row>
    <row r="185">
      <c r="A185" s="273">
        <f>IF(DATA_EO!A182&lt;&gt;"",""&amp;DATA_EO!A182,"")</f>
        <v/>
      </c>
      <c r="B185" s="273">
        <f>IF(A185&lt;&gt;"","EO","")</f>
        <v/>
      </c>
      <c r="C185" s="273">
        <f>IF(A185&lt;&gt;"",""&amp;DATA_EO!L182,"")</f>
        <v/>
      </c>
      <c r="D185" s="273">
        <f>IF(A185&lt;&gt;"",""&amp;DATA_EO!B182,"")</f>
        <v/>
      </c>
      <c r="E185" s="273">
        <f>IF(A185&lt;&gt;"",""&amp;DATA_EO!G182,"")</f>
        <v/>
      </c>
      <c r="F185" s="273">
        <f>IF(A185&lt;&gt;"",""&amp;DATA_EO!K182,"")</f>
        <v/>
      </c>
      <c r="G185" s="273">
        <f>IF(A185&lt;&gt;"",""&amp;DATA_EO!J182,"")</f>
        <v/>
      </c>
      <c r="H185" s="273">
        <f>IF(A185&lt;&gt;"",""&amp;DATA_EO!M182,"")</f>
        <v/>
      </c>
    </row>
    <row r="186">
      <c r="A186" s="273">
        <f>IF(DATA_EO!A183&lt;&gt;"",""&amp;DATA_EO!A183,"")</f>
        <v/>
      </c>
      <c r="B186" s="273">
        <f>IF(A186&lt;&gt;"","EO","")</f>
        <v/>
      </c>
      <c r="C186" s="273">
        <f>IF(A186&lt;&gt;"",""&amp;DATA_EO!L183,"")</f>
        <v/>
      </c>
      <c r="D186" s="273">
        <f>IF(A186&lt;&gt;"",""&amp;DATA_EO!B183,"")</f>
        <v/>
      </c>
      <c r="E186" s="273">
        <f>IF(A186&lt;&gt;"",""&amp;DATA_EO!G183,"")</f>
        <v/>
      </c>
      <c r="F186" s="273">
        <f>IF(A186&lt;&gt;"",""&amp;DATA_EO!K183,"")</f>
        <v/>
      </c>
      <c r="G186" s="273">
        <f>IF(A186&lt;&gt;"",""&amp;DATA_EO!J183,"")</f>
        <v/>
      </c>
      <c r="H186" s="273">
        <f>IF(A186&lt;&gt;"",""&amp;DATA_EO!M183,"")</f>
        <v/>
      </c>
    </row>
    <row r="187">
      <c r="A187" s="273">
        <f>IF(DATA_EO!A184&lt;&gt;"",""&amp;DATA_EO!A184,"")</f>
        <v/>
      </c>
      <c r="B187" s="273">
        <f>IF(A187&lt;&gt;"","EO","")</f>
        <v/>
      </c>
      <c r="C187" s="273">
        <f>IF(A187&lt;&gt;"",""&amp;DATA_EO!L184,"")</f>
        <v/>
      </c>
      <c r="D187" s="273">
        <f>IF(A187&lt;&gt;"",""&amp;DATA_EO!B184,"")</f>
        <v/>
      </c>
      <c r="E187" s="273">
        <f>IF(A187&lt;&gt;"",""&amp;DATA_EO!G184,"")</f>
        <v/>
      </c>
      <c r="F187" s="273">
        <f>IF(A187&lt;&gt;"",""&amp;DATA_EO!K184,"")</f>
        <v/>
      </c>
      <c r="G187" s="273">
        <f>IF(A187&lt;&gt;"",""&amp;DATA_EO!J184,"")</f>
        <v/>
      </c>
      <c r="H187" s="273">
        <f>IF(A187&lt;&gt;"",""&amp;DATA_EO!M184,"")</f>
        <v/>
      </c>
    </row>
    <row r="188">
      <c r="A188" s="273">
        <f>IF(DATA_EO!A185&lt;&gt;"",""&amp;DATA_EO!A185,"")</f>
        <v/>
      </c>
      <c r="B188" s="273">
        <f>IF(A188&lt;&gt;"","EO","")</f>
        <v/>
      </c>
      <c r="C188" s="273">
        <f>IF(A188&lt;&gt;"",""&amp;DATA_EO!L185,"")</f>
        <v/>
      </c>
      <c r="D188" s="273">
        <f>IF(A188&lt;&gt;"",""&amp;DATA_EO!B185,"")</f>
        <v/>
      </c>
      <c r="E188" s="273">
        <f>IF(A188&lt;&gt;"",""&amp;DATA_EO!G185,"")</f>
        <v/>
      </c>
      <c r="F188" s="273">
        <f>IF(A188&lt;&gt;"",""&amp;DATA_EO!K185,"")</f>
        <v/>
      </c>
      <c r="G188" s="273">
        <f>IF(A188&lt;&gt;"",""&amp;DATA_EO!J185,"")</f>
        <v/>
      </c>
      <c r="H188" s="273">
        <f>IF(A188&lt;&gt;"",""&amp;DATA_EO!M185,"")</f>
        <v/>
      </c>
    </row>
    <row r="189">
      <c r="A189" s="273">
        <f>IF(DATA_EO!A186&lt;&gt;"",""&amp;DATA_EO!A186,"")</f>
        <v/>
      </c>
      <c r="B189" s="273">
        <f>IF(A189&lt;&gt;"","EO","")</f>
        <v/>
      </c>
      <c r="C189" s="273">
        <f>IF(A189&lt;&gt;"",""&amp;DATA_EO!L186,"")</f>
        <v/>
      </c>
      <c r="D189" s="273">
        <f>IF(A189&lt;&gt;"",""&amp;DATA_EO!B186,"")</f>
        <v/>
      </c>
      <c r="E189" s="273">
        <f>IF(A189&lt;&gt;"",""&amp;DATA_EO!G186,"")</f>
        <v/>
      </c>
      <c r="F189" s="273">
        <f>IF(A189&lt;&gt;"",""&amp;DATA_EO!K186,"")</f>
        <v/>
      </c>
      <c r="G189" s="273">
        <f>IF(A189&lt;&gt;"",""&amp;DATA_EO!J186,"")</f>
        <v/>
      </c>
      <c r="H189" s="273">
        <f>IF(A189&lt;&gt;"",""&amp;DATA_EO!M186,"")</f>
        <v/>
      </c>
    </row>
    <row r="190">
      <c r="A190" s="273">
        <f>IF(DATA_EO!A187&lt;&gt;"",""&amp;DATA_EO!A187,"")</f>
        <v/>
      </c>
      <c r="B190" s="273">
        <f>IF(A190&lt;&gt;"","EO","")</f>
        <v/>
      </c>
      <c r="C190" s="273">
        <f>IF(A190&lt;&gt;"",""&amp;DATA_EO!L187,"")</f>
        <v/>
      </c>
      <c r="D190" s="273">
        <f>IF(A190&lt;&gt;"",""&amp;DATA_EO!B187,"")</f>
        <v/>
      </c>
      <c r="E190" s="273">
        <f>IF(A190&lt;&gt;"",""&amp;DATA_EO!G187,"")</f>
        <v/>
      </c>
      <c r="F190" s="273">
        <f>IF(A190&lt;&gt;"",""&amp;DATA_EO!K187,"")</f>
        <v/>
      </c>
      <c r="G190" s="273">
        <f>IF(A190&lt;&gt;"",""&amp;DATA_EO!J187,"")</f>
        <v/>
      </c>
      <c r="H190" s="273">
        <f>IF(A190&lt;&gt;"",""&amp;DATA_EO!M187,"")</f>
        <v/>
      </c>
    </row>
    <row r="191">
      <c r="A191" s="273">
        <f>IF(DATA_EO!A188&lt;&gt;"",""&amp;DATA_EO!A188,"")</f>
        <v/>
      </c>
      <c r="B191" s="273">
        <f>IF(A191&lt;&gt;"","EO","")</f>
        <v/>
      </c>
      <c r="C191" s="273">
        <f>IF(A191&lt;&gt;"",""&amp;DATA_EO!L188,"")</f>
        <v/>
      </c>
      <c r="D191" s="273">
        <f>IF(A191&lt;&gt;"",""&amp;DATA_EO!B188,"")</f>
        <v/>
      </c>
      <c r="E191" s="273">
        <f>IF(A191&lt;&gt;"",""&amp;DATA_EO!G188,"")</f>
        <v/>
      </c>
      <c r="F191" s="273">
        <f>IF(A191&lt;&gt;"",""&amp;DATA_EO!K188,"")</f>
        <v/>
      </c>
      <c r="G191" s="273">
        <f>IF(A191&lt;&gt;"",""&amp;DATA_EO!J188,"")</f>
        <v/>
      </c>
      <c r="H191" s="273">
        <f>IF(A191&lt;&gt;"",""&amp;DATA_EO!M188,"")</f>
        <v/>
      </c>
    </row>
    <row r="192">
      <c r="A192" s="273">
        <f>IF(DATA_EO!A189&lt;&gt;"",""&amp;DATA_EO!A189,"")</f>
        <v/>
      </c>
      <c r="B192" s="273">
        <f>IF(A192&lt;&gt;"","EO","")</f>
        <v/>
      </c>
      <c r="C192" s="273">
        <f>IF(A192&lt;&gt;"",""&amp;DATA_EO!L189,"")</f>
        <v/>
      </c>
      <c r="D192" s="273">
        <f>IF(A192&lt;&gt;"",""&amp;DATA_EO!B189,"")</f>
        <v/>
      </c>
      <c r="E192" s="273">
        <f>IF(A192&lt;&gt;"",""&amp;DATA_EO!G189,"")</f>
        <v/>
      </c>
      <c r="F192" s="273">
        <f>IF(A192&lt;&gt;"",""&amp;DATA_EO!K189,"")</f>
        <v/>
      </c>
      <c r="G192" s="273">
        <f>IF(A192&lt;&gt;"",""&amp;DATA_EO!J189,"")</f>
        <v/>
      </c>
      <c r="H192" s="273">
        <f>IF(A192&lt;&gt;"",""&amp;DATA_EO!M189,"")</f>
        <v/>
      </c>
    </row>
    <row r="193">
      <c r="A193" s="273">
        <f>IF(DATA_EO!A190&lt;&gt;"",""&amp;DATA_EO!A190,"")</f>
        <v/>
      </c>
      <c r="B193" s="273">
        <f>IF(A193&lt;&gt;"","EO","")</f>
        <v/>
      </c>
      <c r="C193" s="273">
        <f>IF(A193&lt;&gt;"",""&amp;DATA_EO!L190,"")</f>
        <v/>
      </c>
      <c r="D193" s="273">
        <f>IF(A193&lt;&gt;"",""&amp;DATA_EO!B190,"")</f>
        <v/>
      </c>
      <c r="E193" s="273">
        <f>IF(A193&lt;&gt;"",""&amp;DATA_EO!G190,"")</f>
        <v/>
      </c>
      <c r="F193" s="273">
        <f>IF(A193&lt;&gt;"",""&amp;DATA_EO!K190,"")</f>
        <v/>
      </c>
      <c r="G193" s="273">
        <f>IF(A193&lt;&gt;"",""&amp;DATA_EO!J190,"")</f>
        <v/>
      </c>
      <c r="H193" s="273">
        <f>IF(A193&lt;&gt;"",""&amp;DATA_EO!M190,"")</f>
        <v/>
      </c>
    </row>
    <row r="194">
      <c r="A194" s="273">
        <f>IF(DATA_EO!A191&lt;&gt;"",""&amp;DATA_EO!A191,"")</f>
        <v/>
      </c>
      <c r="B194" s="273">
        <f>IF(A194&lt;&gt;"","EO","")</f>
        <v/>
      </c>
      <c r="C194" s="273">
        <f>IF(A194&lt;&gt;"",""&amp;DATA_EO!L191,"")</f>
        <v/>
      </c>
      <c r="D194" s="273">
        <f>IF(A194&lt;&gt;"",""&amp;DATA_EO!B191,"")</f>
        <v/>
      </c>
      <c r="E194" s="273">
        <f>IF(A194&lt;&gt;"",""&amp;DATA_EO!G191,"")</f>
        <v/>
      </c>
      <c r="F194" s="273">
        <f>IF(A194&lt;&gt;"",""&amp;DATA_EO!K191,"")</f>
        <v/>
      </c>
      <c r="G194" s="273">
        <f>IF(A194&lt;&gt;"",""&amp;DATA_EO!J191,"")</f>
        <v/>
      </c>
      <c r="H194" s="273">
        <f>IF(A194&lt;&gt;"",""&amp;DATA_EO!M191,"")</f>
        <v/>
      </c>
    </row>
    <row r="195">
      <c r="A195" s="273">
        <f>IF(DATA_EO!A192&lt;&gt;"",""&amp;DATA_EO!A192,"")</f>
        <v/>
      </c>
      <c r="B195" s="273">
        <f>IF(A195&lt;&gt;"","EO","")</f>
        <v/>
      </c>
      <c r="C195" s="273">
        <f>IF(A195&lt;&gt;"",""&amp;DATA_EO!L192,"")</f>
        <v/>
      </c>
      <c r="D195" s="273">
        <f>IF(A195&lt;&gt;"",""&amp;DATA_EO!B192,"")</f>
        <v/>
      </c>
      <c r="E195" s="273">
        <f>IF(A195&lt;&gt;"",""&amp;DATA_EO!G192,"")</f>
        <v/>
      </c>
      <c r="F195" s="273">
        <f>IF(A195&lt;&gt;"",""&amp;DATA_EO!K192,"")</f>
        <v/>
      </c>
      <c r="G195" s="273">
        <f>IF(A195&lt;&gt;"",""&amp;DATA_EO!J192,"")</f>
        <v/>
      </c>
      <c r="H195" s="273">
        <f>IF(A195&lt;&gt;"",""&amp;DATA_EO!M192,"")</f>
        <v/>
      </c>
    </row>
    <row r="196">
      <c r="A196" s="273">
        <f>IF(DATA_EO!A193&lt;&gt;"",""&amp;DATA_EO!A193,"")</f>
        <v/>
      </c>
      <c r="B196" s="273">
        <f>IF(A196&lt;&gt;"","EO","")</f>
        <v/>
      </c>
      <c r="C196" s="273">
        <f>IF(A196&lt;&gt;"",""&amp;DATA_EO!L193,"")</f>
        <v/>
      </c>
      <c r="D196" s="273">
        <f>IF(A196&lt;&gt;"",""&amp;DATA_EO!B193,"")</f>
        <v/>
      </c>
      <c r="E196" s="273">
        <f>IF(A196&lt;&gt;"",""&amp;DATA_EO!G193,"")</f>
        <v/>
      </c>
      <c r="F196" s="273">
        <f>IF(A196&lt;&gt;"",""&amp;DATA_EO!K193,"")</f>
        <v/>
      </c>
      <c r="G196" s="273">
        <f>IF(A196&lt;&gt;"",""&amp;DATA_EO!J193,"")</f>
        <v/>
      </c>
      <c r="H196" s="273">
        <f>IF(A196&lt;&gt;"",""&amp;DATA_EO!M193,"")</f>
        <v/>
      </c>
    </row>
    <row r="197">
      <c r="A197" s="273">
        <f>IF(DATA_EO!A194&lt;&gt;"",""&amp;DATA_EO!A194,"")</f>
        <v/>
      </c>
      <c r="B197" s="273">
        <f>IF(A197&lt;&gt;"","EO","")</f>
        <v/>
      </c>
      <c r="C197" s="273">
        <f>IF(A197&lt;&gt;"",""&amp;DATA_EO!L194,"")</f>
        <v/>
      </c>
      <c r="D197" s="273">
        <f>IF(A197&lt;&gt;"",""&amp;DATA_EO!B194,"")</f>
        <v/>
      </c>
      <c r="E197" s="273">
        <f>IF(A197&lt;&gt;"",""&amp;DATA_EO!G194,"")</f>
        <v/>
      </c>
      <c r="F197" s="273">
        <f>IF(A197&lt;&gt;"",""&amp;DATA_EO!K194,"")</f>
        <v/>
      </c>
      <c r="G197" s="273">
        <f>IF(A197&lt;&gt;"",""&amp;DATA_EO!J194,"")</f>
        <v/>
      </c>
      <c r="H197" s="273">
        <f>IF(A197&lt;&gt;"",""&amp;DATA_EO!M194,"")</f>
        <v/>
      </c>
    </row>
    <row r="198">
      <c r="A198" s="273">
        <f>IF(DATA_EO!A195&lt;&gt;"",""&amp;DATA_EO!A195,"")</f>
        <v/>
      </c>
      <c r="B198" s="273">
        <f>IF(A198&lt;&gt;"","EO","")</f>
        <v/>
      </c>
      <c r="C198" s="273">
        <f>IF(A198&lt;&gt;"",""&amp;DATA_EO!L195,"")</f>
        <v/>
      </c>
      <c r="D198" s="273">
        <f>IF(A198&lt;&gt;"",""&amp;DATA_EO!B195,"")</f>
        <v/>
      </c>
      <c r="E198" s="273">
        <f>IF(A198&lt;&gt;"",""&amp;DATA_EO!G195,"")</f>
        <v/>
      </c>
      <c r="F198" s="273">
        <f>IF(A198&lt;&gt;"",""&amp;DATA_EO!K195,"")</f>
        <v/>
      </c>
      <c r="G198" s="273">
        <f>IF(A198&lt;&gt;"",""&amp;DATA_EO!J195,"")</f>
        <v/>
      </c>
      <c r="H198" s="273">
        <f>IF(A198&lt;&gt;"",""&amp;DATA_EO!M195,"")</f>
        <v/>
      </c>
    </row>
    <row r="199">
      <c r="A199" s="273">
        <f>IF(DATA_EO!A196&lt;&gt;"",""&amp;DATA_EO!A196,"")</f>
        <v/>
      </c>
      <c r="B199" s="273">
        <f>IF(A199&lt;&gt;"","EO","")</f>
        <v/>
      </c>
      <c r="C199" s="273">
        <f>IF(A199&lt;&gt;"",""&amp;DATA_EO!L196,"")</f>
        <v/>
      </c>
      <c r="D199" s="273">
        <f>IF(A199&lt;&gt;"",""&amp;DATA_EO!B196,"")</f>
        <v/>
      </c>
      <c r="E199" s="273">
        <f>IF(A199&lt;&gt;"",""&amp;DATA_EO!G196,"")</f>
        <v/>
      </c>
      <c r="F199" s="273">
        <f>IF(A199&lt;&gt;"",""&amp;DATA_EO!K196,"")</f>
        <v/>
      </c>
      <c r="G199" s="273">
        <f>IF(A199&lt;&gt;"",""&amp;DATA_EO!J196,"")</f>
        <v/>
      </c>
      <c r="H199" s="273">
        <f>IF(A199&lt;&gt;"",""&amp;DATA_EO!M196,"")</f>
        <v/>
      </c>
    </row>
    <row r="200">
      <c r="A200" s="273">
        <f>IF(DATA_EO!A197&lt;&gt;"",""&amp;DATA_EO!A197,"")</f>
        <v/>
      </c>
      <c r="B200" s="273">
        <f>IF(A200&lt;&gt;"","EO","")</f>
        <v/>
      </c>
      <c r="C200" s="273">
        <f>IF(A200&lt;&gt;"",""&amp;DATA_EO!L197,"")</f>
        <v/>
      </c>
      <c r="D200" s="273">
        <f>IF(A200&lt;&gt;"",""&amp;DATA_EO!B197,"")</f>
        <v/>
      </c>
      <c r="E200" s="273">
        <f>IF(A200&lt;&gt;"",""&amp;DATA_EO!G197,"")</f>
        <v/>
      </c>
      <c r="F200" s="273">
        <f>IF(A200&lt;&gt;"",""&amp;DATA_EO!K197,"")</f>
        <v/>
      </c>
      <c r="G200" s="273">
        <f>IF(A200&lt;&gt;"",""&amp;DATA_EO!J197,"")</f>
        <v/>
      </c>
      <c r="H200" s="273">
        <f>IF(A200&lt;&gt;"",""&amp;DATA_EO!M197,"")</f>
        <v/>
      </c>
    </row>
    <row r="201">
      <c r="A201" s="273">
        <f>IF(DATA_EO!A198&lt;&gt;"",""&amp;DATA_EO!A198,"")</f>
        <v/>
      </c>
      <c r="B201" s="273">
        <f>IF(A201&lt;&gt;"","EO","")</f>
        <v/>
      </c>
      <c r="C201" s="273">
        <f>IF(A201&lt;&gt;"",""&amp;DATA_EO!L198,"")</f>
        <v/>
      </c>
      <c r="D201" s="273">
        <f>IF(A201&lt;&gt;"",""&amp;DATA_EO!B198,"")</f>
        <v/>
      </c>
      <c r="E201" s="273">
        <f>IF(A201&lt;&gt;"",""&amp;DATA_EO!G198,"")</f>
        <v/>
      </c>
      <c r="F201" s="273">
        <f>IF(A201&lt;&gt;"",""&amp;DATA_EO!K198,"")</f>
        <v/>
      </c>
      <c r="G201" s="273">
        <f>IF(A201&lt;&gt;"",""&amp;DATA_EO!J198,"")</f>
        <v/>
      </c>
      <c r="H201" s="273">
        <f>IF(A201&lt;&gt;"",""&amp;DATA_EO!M198,"")</f>
        <v/>
      </c>
    </row>
    <row r="202">
      <c r="A202" s="273">
        <f>IF(DATA_EO!A199&lt;&gt;"",""&amp;DATA_EO!A199,"")</f>
        <v/>
      </c>
      <c r="B202" s="273">
        <f>IF(A202&lt;&gt;"","EO","")</f>
        <v/>
      </c>
      <c r="C202" s="273">
        <f>IF(A202&lt;&gt;"",""&amp;DATA_EO!L199,"")</f>
        <v/>
      </c>
      <c r="D202" s="273">
        <f>IF(A202&lt;&gt;"",""&amp;DATA_EO!B199,"")</f>
        <v/>
      </c>
      <c r="E202" s="273">
        <f>IF(A202&lt;&gt;"",""&amp;DATA_EO!G199,"")</f>
        <v/>
      </c>
      <c r="F202" s="273">
        <f>IF(A202&lt;&gt;"",""&amp;DATA_EO!K199,"")</f>
        <v/>
      </c>
      <c r="G202" s="273">
        <f>IF(A202&lt;&gt;"",""&amp;DATA_EO!J199,"")</f>
        <v/>
      </c>
      <c r="H202" s="273">
        <f>IF(A202&lt;&gt;"",""&amp;DATA_EO!M199,"")</f>
        <v/>
      </c>
    </row>
    <row r="203">
      <c r="A203" s="273">
        <f>IF(DATA_EO!A200&lt;&gt;"",""&amp;DATA_EO!A200,"")</f>
        <v/>
      </c>
      <c r="B203" s="273">
        <f>IF(A203&lt;&gt;"","EO","")</f>
        <v/>
      </c>
      <c r="C203" s="273">
        <f>IF(A203&lt;&gt;"",""&amp;DATA_EO!L200,"")</f>
        <v/>
      </c>
      <c r="D203" s="273">
        <f>IF(A203&lt;&gt;"",""&amp;DATA_EO!B200,"")</f>
        <v/>
      </c>
      <c r="E203" s="273">
        <f>IF(A203&lt;&gt;"",""&amp;DATA_EO!G200,"")</f>
        <v/>
      </c>
      <c r="F203" s="273">
        <f>IF(A203&lt;&gt;"",""&amp;DATA_EO!K200,"")</f>
        <v/>
      </c>
      <c r="G203" s="273">
        <f>IF(A203&lt;&gt;"",""&amp;DATA_EO!J200,"")</f>
        <v/>
      </c>
      <c r="H203" s="273">
        <f>IF(A203&lt;&gt;"",""&amp;DATA_EO!M200,"")</f>
        <v/>
      </c>
    </row>
    <row r="204">
      <c r="A204" s="273">
        <f>IF(DATA_EO!A201&lt;&gt;"",""&amp;DATA_EO!A201,"")</f>
        <v/>
      </c>
      <c r="B204" s="273">
        <f>IF(A204&lt;&gt;"","EO","")</f>
        <v/>
      </c>
      <c r="C204" s="273">
        <f>IF(A204&lt;&gt;"",""&amp;DATA_EO!L201,"")</f>
        <v/>
      </c>
      <c r="D204" s="273">
        <f>IF(A204&lt;&gt;"",""&amp;DATA_EO!B201,"")</f>
        <v/>
      </c>
      <c r="E204" s="273">
        <f>IF(A204&lt;&gt;"",""&amp;DATA_EO!G201,"")</f>
        <v/>
      </c>
      <c r="F204" s="273">
        <f>IF(A204&lt;&gt;"",""&amp;DATA_EO!K201,"")</f>
        <v/>
      </c>
      <c r="G204" s="273">
        <f>IF(A204&lt;&gt;"",""&amp;DATA_EO!J201,"")</f>
        <v/>
      </c>
      <c r="H204" s="273">
        <f>IF(A204&lt;&gt;"",""&amp;DATA_EO!M201,"")</f>
        <v/>
      </c>
    </row>
    <row r="205">
      <c r="A205" s="273">
        <f>IF(DATA_EO!A202&lt;&gt;"",""&amp;DATA_EO!A202,"")</f>
        <v/>
      </c>
      <c r="B205" s="273">
        <f>IF(A205&lt;&gt;"","EO","")</f>
        <v/>
      </c>
      <c r="C205" s="273">
        <f>IF(A205&lt;&gt;"",""&amp;DATA_EO!L202,"")</f>
        <v/>
      </c>
      <c r="D205" s="273">
        <f>IF(A205&lt;&gt;"",""&amp;DATA_EO!B202,"")</f>
        <v/>
      </c>
      <c r="E205" s="273">
        <f>IF(A205&lt;&gt;"",""&amp;DATA_EO!G202,"")</f>
        <v/>
      </c>
      <c r="F205" s="273">
        <f>IF(A205&lt;&gt;"",""&amp;DATA_EO!K202,"")</f>
        <v/>
      </c>
      <c r="G205" s="273">
        <f>IF(A205&lt;&gt;"",""&amp;DATA_EO!J202,"")</f>
        <v/>
      </c>
      <c r="H205" s="273">
        <f>IF(A205&lt;&gt;"",""&amp;DATA_EO!M202,"")</f>
        <v/>
      </c>
    </row>
    <row r="206">
      <c r="A206" s="273">
        <f>IF(DATA_EO!A203&lt;&gt;"",""&amp;DATA_EO!A203,"")</f>
        <v/>
      </c>
      <c r="B206" s="273">
        <f>IF(A206&lt;&gt;"","EO","")</f>
        <v/>
      </c>
      <c r="C206" s="273">
        <f>IF(A206&lt;&gt;"",""&amp;DATA_EO!L203,"")</f>
        <v/>
      </c>
      <c r="D206" s="273">
        <f>IF(A206&lt;&gt;"",""&amp;DATA_EO!B203,"")</f>
        <v/>
      </c>
      <c r="E206" s="273">
        <f>IF(A206&lt;&gt;"",""&amp;DATA_EO!G203,"")</f>
        <v/>
      </c>
      <c r="F206" s="273">
        <f>IF(A206&lt;&gt;"",""&amp;DATA_EO!K203,"")</f>
        <v/>
      </c>
      <c r="G206" s="273">
        <f>IF(A206&lt;&gt;"",""&amp;DATA_EO!J203,"")</f>
        <v/>
      </c>
      <c r="H206" s="273">
        <f>IF(A206&lt;&gt;"",""&amp;DATA_EO!M203,"")</f>
        <v/>
      </c>
    </row>
    <row r="207">
      <c r="A207" s="273">
        <f>IF(DATA_EO!A204&lt;&gt;"",""&amp;DATA_EO!A204,"")</f>
        <v/>
      </c>
      <c r="B207" s="273">
        <f>IF(A207&lt;&gt;"","EO","")</f>
        <v/>
      </c>
      <c r="C207" s="273">
        <f>IF(A207&lt;&gt;"",""&amp;DATA_EO!L204,"")</f>
        <v/>
      </c>
      <c r="D207" s="273">
        <f>IF(A207&lt;&gt;"",""&amp;DATA_EO!B204,"")</f>
        <v/>
      </c>
      <c r="E207" s="273">
        <f>IF(A207&lt;&gt;"",""&amp;DATA_EO!G204,"")</f>
        <v/>
      </c>
      <c r="F207" s="273">
        <f>IF(A207&lt;&gt;"",""&amp;DATA_EO!K204,"")</f>
        <v/>
      </c>
      <c r="G207" s="273">
        <f>IF(A207&lt;&gt;"",""&amp;DATA_EO!J204,"")</f>
        <v/>
      </c>
      <c r="H207" s="273">
        <f>IF(A207&lt;&gt;"",""&amp;DATA_EO!M204,"")</f>
        <v/>
      </c>
    </row>
    <row r="208">
      <c r="A208" s="273">
        <f>IF(DATA_EO!A205&lt;&gt;"",""&amp;DATA_EO!A205,"")</f>
        <v/>
      </c>
      <c r="B208" s="273">
        <f>IF(A208&lt;&gt;"","EO","")</f>
        <v/>
      </c>
      <c r="C208" s="273">
        <f>IF(A208&lt;&gt;"",""&amp;DATA_EO!L205,"")</f>
        <v/>
      </c>
      <c r="D208" s="273">
        <f>IF(A208&lt;&gt;"",""&amp;DATA_EO!B205,"")</f>
        <v/>
      </c>
      <c r="E208" s="273">
        <f>IF(A208&lt;&gt;"",""&amp;DATA_EO!G205,"")</f>
        <v/>
      </c>
      <c r="F208" s="273">
        <f>IF(A208&lt;&gt;"",""&amp;DATA_EO!K205,"")</f>
        <v/>
      </c>
      <c r="G208" s="273">
        <f>IF(A208&lt;&gt;"",""&amp;DATA_EO!J205,"")</f>
        <v/>
      </c>
      <c r="H208" s="273">
        <f>IF(A208&lt;&gt;"",""&amp;DATA_EO!M205,"")</f>
        <v/>
      </c>
    </row>
    <row r="209">
      <c r="A209" s="273">
        <f>IF(DATA_EO!A206&lt;&gt;"",""&amp;DATA_EO!A206,"")</f>
        <v/>
      </c>
      <c r="B209" s="273">
        <f>IF(A209&lt;&gt;"","EO","")</f>
        <v/>
      </c>
      <c r="C209" s="273">
        <f>IF(A209&lt;&gt;"",""&amp;DATA_EO!L206,"")</f>
        <v/>
      </c>
      <c r="D209" s="273">
        <f>IF(A209&lt;&gt;"",""&amp;DATA_EO!B206,"")</f>
        <v/>
      </c>
      <c r="E209" s="273">
        <f>IF(A209&lt;&gt;"",""&amp;DATA_EO!G206,"")</f>
        <v/>
      </c>
      <c r="F209" s="273">
        <f>IF(A209&lt;&gt;"",""&amp;DATA_EO!K206,"")</f>
        <v/>
      </c>
      <c r="G209" s="273">
        <f>IF(A209&lt;&gt;"",""&amp;DATA_EO!J206,"")</f>
        <v/>
      </c>
      <c r="H209" s="273">
        <f>IF(A209&lt;&gt;"",""&amp;DATA_EO!M206,"")</f>
        <v/>
      </c>
    </row>
    <row r="210">
      <c r="A210" s="273">
        <f>IF(DATA_EO!A207&lt;&gt;"",""&amp;DATA_EO!A207,"")</f>
        <v/>
      </c>
      <c r="B210" s="273">
        <f>IF(A210&lt;&gt;"","EO","")</f>
        <v/>
      </c>
      <c r="C210" s="273">
        <f>IF(A210&lt;&gt;"",""&amp;DATA_EO!L207,"")</f>
        <v/>
      </c>
      <c r="D210" s="273">
        <f>IF(A210&lt;&gt;"",""&amp;DATA_EO!B207,"")</f>
        <v/>
      </c>
      <c r="E210" s="273">
        <f>IF(A210&lt;&gt;"",""&amp;DATA_EO!G207,"")</f>
        <v/>
      </c>
      <c r="F210" s="273">
        <f>IF(A210&lt;&gt;"",""&amp;DATA_EO!K207,"")</f>
        <v/>
      </c>
      <c r="G210" s="273">
        <f>IF(A210&lt;&gt;"",""&amp;DATA_EO!J207,"")</f>
        <v/>
      </c>
      <c r="H210" s="273">
        <f>IF(A210&lt;&gt;"",""&amp;DATA_EO!M207,"")</f>
        <v/>
      </c>
    </row>
    <row r="211">
      <c r="A211" s="273">
        <f>IF(DATA_EO!A208&lt;&gt;"",""&amp;DATA_EO!A208,"")</f>
        <v/>
      </c>
      <c r="B211" s="273">
        <f>IF(A211&lt;&gt;"","EO","")</f>
        <v/>
      </c>
      <c r="C211" s="273">
        <f>IF(A211&lt;&gt;"",""&amp;DATA_EO!L208,"")</f>
        <v/>
      </c>
      <c r="D211" s="273">
        <f>IF(A211&lt;&gt;"",""&amp;DATA_EO!B208,"")</f>
        <v/>
      </c>
      <c r="E211" s="273">
        <f>IF(A211&lt;&gt;"",""&amp;DATA_EO!G208,"")</f>
        <v/>
      </c>
      <c r="F211" s="273">
        <f>IF(A211&lt;&gt;"",""&amp;DATA_EO!K208,"")</f>
        <v/>
      </c>
      <c r="G211" s="273">
        <f>IF(A211&lt;&gt;"",""&amp;DATA_EO!J208,"")</f>
        <v/>
      </c>
      <c r="H211" s="273">
        <f>IF(A211&lt;&gt;"",""&amp;DATA_EO!M208,"")</f>
        <v/>
      </c>
    </row>
    <row r="212">
      <c r="A212" s="273">
        <f>IF(DATA_EO!A209&lt;&gt;"",""&amp;DATA_EO!A209,"")</f>
        <v/>
      </c>
      <c r="B212" s="273">
        <f>IF(A212&lt;&gt;"","EO","")</f>
        <v/>
      </c>
      <c r="C212" s="273">
        <f>IF(A212&lt;&gt;"",""&amp;DATA_EO!L209,"")</f>
        <v/>
      </c>
      <c r="D212" s="273">
        <f>IF(A212&lt;&gt;"",""&amp;DATA_EO!B209,"")</f>
        <v/>
      </c>
      <c r="E212" s="273">
        <f>IF(A212&lt;&gt;"",""&amp;DATA_EO!G209,"")</f>
        <v/>
      </c>
      <c r="F212" s="273">
        <f>IF(A212&lt;&gt;"",""&amp;DATA_EO!K209,"")</f>
        <v/>
      </c>
      <c r="G212" s="273">
        <f>IF(A212&lt;&gt;"",""&amp;DATA_EO!J209,"")</f>
        <v/>
      </c>
      <c r="H212" s="273">
        <f>IF(A212&lt;&gt;"",""&amp;DATA_EO!M209,"")</f>
        <v/>
      </c>
    </row>
    <row r="213">
      <c r="A213" s="273">
        <f>IF(DATA_EO!A210&lt;&gt;"",""&amp;DATA_EO!A210,"")</f>
        <v/>
      </c>
      <c r="B213" s="273">
        <f>IF(A213&lt;&gt;"","EO","")</f>
        <v/>
      </c>
      <c r="C213" s="273">
        <f>IF(A213&lt;&gt;"",""&amp;DATA_EO!L210,"")</f>
        <v/>
      </c>
      <c r="D213" s="273">
        <f>IF(A213&lt;&gt;"",""&amp;DATA_EO!B210,"")</f>
        <v/>
      </c>
      <c r="E213" s="273">
        <f>IF(A213&lt;&gt;"",""&amp;DATA_EO!G210,"")</f>
        <v/>
      </c>
      <c r="F213" s="273">
        <f>IF(A213&lt;&gt;"",""&amp;DATA_EO!K210,"")</f>
        <v/>
      </c>
      <c r="G213" s="273">
        <f>IF(A213&lt;&gt;"",""&amp;DATA_EO!J210,"")</f>
        <v/>
      </c>
      <c r="H213" s="273">
        <f>IF(A213&lt;&gt;"",""&amp;DATA_EO!M210,"")</f>
        <v/>
      </c>
    </row>
    <row r="214">
      <c r="A214" s="273">
        <f>IF(DATA_EO!A211&lt;&gt;"",""&amp;DATA_EO!A211,"")</f>
        <v/>
      </c>
      <c r="B214" s="273">
        <f>IF(A214&lt;&gt;"","EO","")</f>
        <v/>
      </c>
      <c r="C214" s="273">
        <f>IF(A214&lt;&gt;"",""&amp;DATA_EO!L211,"")</f>
        <v/>
      </c>
      <c r="D214" s="273">
        <f>IF(A214&lt;&gt;"",""&amp;DATA_EO!B211,"")</f>
        <v/>
      </c>
      <c r="E214" s="273">
        <f>IF(A214&lt;&gt;"",""&amp;DATA_EO!G211,"")</f>
        <v/>
      </c>
      <c r="F214" s="273">
        <f>IF(A214&lt;&gt;"",""&amp;DATA_EO!K211,"")</f>
        <v/>
      </c>
      <c r="G214" s="273">
        <f>IF(A214&lt;&gt;"",""&amp;DATA_EO!J211,"")</f>
        <v/>
      </c>
      <c r="H214" s="273">
        <f>IF(A214&lt;&gt;"",""&amp;DATA_EO!M211,"")</f>
        <v/>
      </c>
    </row>
    <row r="215">
      <c r="A215" s="273">
        <f>IF(DATA_EO!A212&lt;&gt;"",""&amp;DATA_EO!A212,"")</f>
        <v/>
      </c>
      <c r="B215" s="273">
        <f>IF(A215&lt;&gt;"","EO","")</f>
        <v/>
      </c>
      <c r="C215" s="273">
        <f>IF(A215&lt;&gt;"",""&amp;DATA_EO!L212,"")</f>
        <v/>
      </c>
      <c r="D215" s="273">
        <f>IF(A215&lt;&gt;"",""&amp;DATA_EO!B212,"")</f>
        <v/>
      </c>
      <c r="E215" s="273">
        <f>IF(A215&lt;&gt;"",""&amp;DATA_EO!G212,"")</f>
        <v/>
      </c>
      <c r="F215" s="273">
        <f>IF(A215&lt;&gt;"",""&amp;DATA_EO!K212,"")</f>
        <v/>
      </c>
      <c r="G215" s="273">
        <f>IF(A215&lt;&gt;"",""&amp;DATA_EO!J212,"")</f>
        <v/>
      </c>
      <c r="H215" s="273">
        <f>IF(A215&lt;&gt;"",""&amp;DATA_EO!M212,"")</f>
        <v/>
      </c>
    </row>
    <row r="216">
      <c r="A216" s="273">
        <f>IF(DATA_EO!A213&lt;&gt;"",""&amp;DATA_EO!A213,"")</f>
        <v/>
      </c>
      <c r="B216" s="273">
        <f>IF(A216&lt;&gt;"","EO","")</f>
        <v/>
      </c>
      <c r="C216" s="273">
        <f>IF(A216&lt;&gt;"",""&amp;DATA_EO!L213,"")</f>
        <v/>
      </c>
      <c r="D216" s="273">
        <f>IF(A216&lt;&gt;"",""&amp;DATA_EO!B213,"")</f>
        <v/>
      </c>
      <c r="E216" s="273">
        <f>IF(A216&lt;&gt;"",""&amp;DATA_EO!G213,"")</f>
        <v/>
      </c>
      <c r="F216" s="273">
        <f>IF(A216&lt;&gt;"",""&amp;DATA_EO!K213,"")</f>
        <v/>
      </c>
      <c r="G216" s="273">
        <f>IF(A216&lt;&gt;"",""&amp;DATA_EO!J213,"")</f>
        <v/>
      </c>
      <c r="H216" s="273">
        <f>IF(A216&lt;&gt;"",""&amp;DATA_EO!M213,"")</f>
        <v/>
      </c>
    </row>
    <row r="217">
      <c r="A217" s="273">
        <f>IF(DATA_EO!A214&lt;&gt;"",""&amp;DATA_EO!A214,"")</f>
        <v/>
      </c>
      <c r="B217" s="273">
        <f>IF(A217&lt;&gt;"","EO","")</f>
        <v/>
      </c>
      <c r="C217" s="273">
        <f>IF(A217&lt;&gt;"",""&amp;DATA_EO!L214,"")</f>
        <v/>
      </c>
      <c r="D217" s="273">
        <f>IF(A217&lt;&gt;"",""&amp;DATA_EO!B214,"")</f>
        <v/>
      </c>
      <c r="E217" s="273">
        <f>IF(A217&lt;&gt;"",""&amp;DATA_EO!G214,"")</f>
        <v/>
      </c>
      <c r="F217" s="273">
        <f>IF(A217&lt;&gt;"",""&amp;DATA_EO!K214,"")</f>
        <v/>
      </c>
      <c r="G217" s="273">
        <f>IF(A217&lt;&gt;"",""&amp;DATA_EO!J214,"")</f>
        <v/>
      </c>
      <c r="H217" s="273">
        <f>IF(A217&lt;&gt;"",""&amp;DATA_EO!M214,"")</f>
        <v/>
      </c>
    </row>
    <row r="218">
      <c r="A218" s="273">
        <f>IF(DATA_EO!A215&lt;&gt;"",""&amp;DATA_EO!A215,"")</f>
        <v/>
      </c>
      <c r="B218" s="273">
        <f>IF(A218&lt;&gt;"","EO","")</f>
        <v/>
      </c>
      <c r="C218" s="273">
        <f>IF(A218&lt;&gt;"",""&amp;DATA_EO!L215,"")</f>
        <v/>
      </c>
      <c r="D218" s="273">
        <f>IF(A218&lt;&gt;"",""&amp;DATA_EO!B215,"")</f>
        <v/>
      </c>
      <c r="E218" s="273">
        <f>IF(A218&lt;&gt;"",""&amp;DATA_EO!G215,"")</f>
        <v/>
      </c>
      <c r="F218" s="273">
        <f>IF(A218&lt;&gt;"",""&amp;DATA_EO!K215,"")</f>
        <v/>
      </c>
      <c r="G218" s="273">
        <f>IF(A218&lt;&gt;"",""&amp;DATA_EO!J215,"")</f>
        <v/>
      </c>
      <c r="H218" s="273">
        <f>IF(A218&lt;&gt;"",""&amp;DATA_EO!M215,"")</f>
        <v/>
      </c>
    </row>
    <row r="219">
      <c r="A219" s="273">
        <f>IF(DATA_EO!A216&lt;&gt;"",""&amp;DATA_EO!A216,"")</f>
        <v/>
      </c>
      <c r="B219" s="273">
        <f>IF(A219&lt;&gt;"","EO","")</f>
        <v/>
      </c>
      <c r="C219" s="273">
        <f>IF(A219&lt;&gt;"",""&amp;DATA_EO!L216,"")</f>
        <v/>
      </c>
      <c r="D219" s="273">
        <f>IF(A219&lt;&gt;"",""&amp;DATA_EO!B216,"")</f>
        <v/>
      </c>
      <c r="E219" s="273">
        <f>IF(A219&lt;&gt;"",""&amp;DATA_EO!G216,"")</f>
        <v/>
      </c>
      <c r="F219" s="273">
        <f>IF(A219&lt;&gt;"",""&amp;DATA_EO!K216,"")</f>
        <v/>
      </c>
      <c r="G219" s="273">
        <f>IF(A219&lt;&gt;"",""&amp;DATA_EO!J216,"")</f>
        <v/>
      </c>
      <c r="H219" s="273">
        <f>IF(A219&lt;&gt;"",""&amp;DATA_EO!M216,"")</f>
        <v/>
      </c>
    </row>
    <row r="220">
      <c r="A220" s="273">
        <f>IF(DATA_EO!A217&lt;&gt;"",""&amp;DATA_EO!A217,"")</f>
        <v/>
      </c>
      <c r="B220" s="273">
        <f>IF(A220&lt;&gt;"","EO","")</f>
        <v/>
      </c>
      <c r="C220" s="273">
        <f>IF(A220&lt;&gt;"",""&amp;DATA_EO!L217,"")</f>
        <v/>
      </c>
      <c r="D220" s="273">
        <f>IF(A220&lt;&gt;"",""&amp;DATA_EO!B217,"")</f>
        <v/>
      </c>
      <c r="E220" s="273">
        <f>IF(A220&lt;&gt;"",""&amp;DATA_EO!G217,"")</f>
        <v/>
      </c>
      <c r="F220" s="273">
        <f>IF(A220&lt;&gt;"",""&amp;DATA_EO!K217,"")</f>
        <v/>
      </c>
      <c r="G220" s="273">
        <f>IF(A220&lt;&gt;"",""&amp;DATA_EO!J217,"")</f>
        <v/>
      </c>
      <c r="H220" s="273">
        <f>IF(A220&lt;&gt;"",""&amp;DATA_EO!M217,"")</f>
        <v/>
      </c>
    </row>
    <row r="221">
      <c r="A221" s="273">
        <f>IF(DATA_EO!A218&lt;&gt;"",""&amp;DATA_EO!A218,"")</f>
        <v/>
      </c>
      <c r="B221" s="273">
        <f>IF(A221&lt;&gt;"","EO","")</f>
        <v/>
      </c>
      <c r="C221" s="273">
        <f>IF(A221&lt;&gt;"",""&amp;DATA_EO!L218,"")</f>
        <v/>
      </c>
      <c r="D221" s="273">
        <f>IF(A221&lt;&gt;"",""&amp;DATA_EO!B218,"")</f>
        <v/>
      </c>
      <c r="E221" s="273">
        <f>IF(A221&lt;&gt;"",""&amp;DATA_EO!G218,"")</f>
        <v/>
      </c>
      <c r="F221" s="273">
        <f>IF(A221&lt;&gt;"",""&amp;DATA_EO!K218,"")</f>
        <v/>
      </c>
      <c r="G221" s="273">
        <f>IF(A221&lt;&gt;"",""&amp;DATA_EO!J218,"")</f>
        <v/>
      </c>
      <c r="H221" s="273">
        <f>IF(A221&lt;&gt;"",""&amp;DATA_EO!M218,"")</f>
        <v/>
      </c>
    </row>
    <row r="222">
      <c r="A222" s="273">
        <f>IF(DATA_EO!A219&lt;&gt;"",""&amp;DATA_EO!A219,"")</f>
        <v/>
      </c>
      <c r="B222" s="273">
        <f>IF(A222&lt;&gt;"","EO","")</f>
        <v/>
      </c>
      <c r="C222" s="273">
        <f>IF(A222&lt;&gt;"",""&amp;DATA_EO!L219,"")</f>
        <v/>
      </c>
      <c r="D222" s="273">
        <f>IF(A222&lt;&gt;"",""&amp;DATA_EO!B219,"")</f>
        <v/>
      </c>
      <c r="E222" s="273">
        <f>IF(A222&lt;&gt;"",""&amp;DATA_EO!G219,"")</f>
        <v/>
      </c>
      <c r="F222" s="273">
        <f>IF(A222&lt;&gt;"",""&amp;DATA_EO!K219,"")</f>
        <v/>
      </c>
      <c r="G222" s="273">
        <f>IF(A222&lt;&gt;"",""&amp;DATA_EO!J219,"")</f>
        <v/>
      </c>
      <c r="H222" s="273">
        <f>IF(A222&lt;&gt;"",""&amp;DATA_EO!M219,"")</f>
        <v/>
      </c>
    </row>
    <row r="223">
      <c r="A223" s="273">
        <f>IF(DATA_EO!A220&lt;&gt;"",""&amp;DATA_EO!A220,"")</f>
        <v/>
      </c>
      <c r="B223" s="273">
        <f>IF(A223&lt;&gt;"","EO","")</f>
        <v/>
      </c>
      <c r="C223" s="273">
        <f>IF(A223&lt;&gt;"",""&amp;DATA_EO!L220,"")</f>
        <v/>
      </c>
      <c r="D223" s="273">
        <f>IF(A223&lt;&gt;"",""&amp;DATA_EO!B220,"")</f>
        <v/>
      </c>
      <c r="E223" s="273">
        <f>IF(A223&lt;&gt;"",""&amp;DATA_EO!G220,"")</f>
        <v/>
      </c>
      <c r="F223" s="273">
        <f>IF(A223&lt;&gt;"",""&amp;DATA_EO!K220,"")</f>
        <v/>
      </c>
      <c r="G223" s="273">
        <f>IF(A223&lt;&gt;"",""&amp;DATA_EO!J220,"")</f>
        <v/>
      </c>
      <c r="H223" s="273">
        <f>IF(A223&lt;&gt;"",""&amp;DATA_EO!M220,"")</f>
        <v/>
      </c>
    </row>
    <row r="224">
      <c r="A224" s="273">
        <f>IF(DATA_EO!A221&lt;&gt;"",""&amp;DATA_EO!A221,"")</f>
        <v/>
      </c>
      <c r="B224" s="273">
        <f>IF(A224&lt;&gt;"","EO","")</f>
        <v/>
      </c>
      <c r="C224" s="273">
        <f>IF(A224&lt;&gt;"",""&amp;DATA_EO!L221,"")</f>
        <v/>
      </c>
      <c r="D224" s="273">
        <f>IF(A224&lt;&gt;"",""&amp;DATA_EO!B221,"")</f>
        <v/>
      </c>
      <c r="E224" s="273">
        <f>IF(A224&lt;&gt;"",""&amp;DATA_EO!G221,"")</f>
        <v/>
      </c>
      <c r="F224" s="273">
        <f>IF(A224&lt;&gt;"",""&amp;DATA_EO!K221,"")</f>
        <v/>
      </c>
      <c r="G224" s="273">
        <f>IF(A224&lt;&gt;"",""&amp;DATA_EO!J221,"")</f>
        <v/>
      </c>
      <c r="H224" s="273">
        <f>IF(A224&lt;&gt;"",""&amp;DATA_EO!M221,"")</f>
        <v/>
      </c>
    </row>
    <row r="225">
      <c r="A225" s="273">
        <f>IF(DATA_EO!A222&lt;&gt;"",""&amp;DATA_EO!A222,"")</f>
        <v/>
      </c>
      <c r="B225" s="273">
        <f>IF(A225&lt;&gt;"","EO","")</f>
        <v/>
      </c>
      <c r="C225" s="273">
        <f>IF(A225&lt;&gt;"",""&amp;DATA_EO!L222,"")</f>
        <v/>
      </c>
      <c r="D225" s="273">
        <f>IF(A225&lt;&gt;"",""&amp;DATA_EO!B222,"")</f>
        <v/>
      </c>
      <c r="E225" s="273">
        <f>IF(A225&lt;&gt;"",""&amp;DATA_EO!G222,"")</f>
        <v/>
      </c>
      <c r="F225" s="273">
        <f>IF(A225&lt;&gt;"",""&amp;DATA_EO!K222,"")</f>
        <v/>
      </c>
      <c r="G225" s="273">
        <f>IF(A225&lt;&gt;"",""&amp;DATA_EO!J222,"")</f>
        <v/>
      </c>
      <c r="H225" s="273">
        <f>IF(A225&lt;&gt;"",""&amp;DATA_EO!M222,"")</f>
        <v/>
      </c>
    </row>
    <row r="226">
      <c r="A226" s="273">
        <f>IF(DATA_EO!A223&lt;&gt;"",""&amp;DATA_EO!A223,"")</f>
        <v/>
      </c>
      <c r="B226" s="273">
        <f>IF(A226&lt;&gt;"","EO","")</f>
        <v/>
      </c>
      <c r="C226" s="273">
        <f>IF(A226&lt;&gt;"",""&amp;DATA_EO!L223,"")</f>
        <v/>
      </c>
      <c r="D226" s="273">
        <f>IF(A226&lt;&gt;"",""&amp;DATA_EO!B223,"")</f>
        <v/>
      </c>
      <c r="E226" s="273">
        <f>IF(A226&lt;&gt;"",""&amp;DATA_EO!G223,"")</f>
        <v/>
      </c>
      <c r="F226" s="273">
        <f>IF(A226&lt;&gt;"",""&amp;DATA_EO!K223,"")</f>
        <v/>
      </c>
      <c r="G226" s="273">
        <f>IF(A226&lt;&gt;"",""&amp;DATA_EO!J223,"")</f>
        <v/>
      </c>
      <c r="H226" s="273">
        <f>IF(A226&lt;&gt;"",""&amp;DATA_EO!M223,"")</f>
        <v/>
      </c>
    </row>
    <row r="227">
      <c r="A227" s="273">
        <f>IF(DATA_EO!A224&lt;&gt;"",""&amp;DATA_EO!A224,"")</f>
        <v/>
      </c>
      <c r="B227" s="273">
        <f>IF(A227&lt;&gt;"","EO","")</f>
        <v/>
      </c>
      <c r="C227" s="273">
        <f>IF(A227&lt;&gt;"",""&amp;DATA_EO!L224,"")</f>
        <v/>
      </c>
      <c r="D227" s="273">
        <f>IF(A227&lt;&gt;"",""&amp;DATA_EO!B224,"")</f>
        <v/>
      </c>
      <c r="E227" s="273">
        <f>IF(A227&lt;&gt;"",""&amp;DATA_EO!G224,"")</f>
        <v/>
      </c>
      <c r="F227" s="273">
        <f>IF(A227&lt;&gt;"",""&amp;DATA_EO!K224,"")</f>
        <v/>
      </c>
      <c r="G227" s="273">
        <f>IF(A227&lt;&gt;"",""&amp;DATA_EO!J224,"")</f>
        <v/>
      </c>
      <c r="H227" s="273">
        <f>IF(A227&lt;&gt;"",""&amp;DATA_EO!M224,"")</f>
        <v/>
      </c>
    </row>
    <row r="228">
      <c r="A228" s="273">
        <f>IF(DATA_EO!A225&lt;&gt;"",""&amp;DATA_EO!A225,"")</f>
        <v/>
      </c>
      <c r="B228" s="273">
        <f>IF(A228&lt;&gt;"","EO","")</f>
        <v/>
      </c>
      <c r="C228" s="273">
        <f>IF(A228&lt;&gt;"",""&amp;DATA_EO!L225,"")</f>
        <v/>
      </c>
      <c r="D228" s="273">
        <f>IF(A228&lt;&gt;"",""&amp;DATA_EO!B225,"")</f>
        <v/>
      </c>
      <c r="E228" s="273">
        <f>IF(A228&lt;&gt;"",""&amp;DATA_EO!G225,"")</f>
        <v/>
      </c>
      <c r="F228" s="273">
        <f>IF(A228&lt;&gt;"",""&amp;DATA_EO!K225,"")</f>
        <v/>
      </c>
      <c r="G228" s="273">
        <f>IF(A228&lt;&gt;"",""&amp;DATA_EO!J225,"")</f>
        <v/>
      </c>
      <c r="H228" s="273">
        <f>IF(A228&lt;&gt;"",""&amp;DATA_EO!M225,"")</f>
        <v/>
      </c>
    </row>
    <row r="229">
      <c r="A229" s="273">
        <f>IF(DATA_EO!A226&lt;&gt;"",""&amp;DATA_EO!A226,"")</f>
        <v/>
      </c>
      <c r="B229" s="273">
        <f>IF(A229&lt;&gt;"","EO","")</f>
        <v/>
      </c>
      <c r="C229" s="273">
        <f>IF(A229&lt;&gt;"",""&amp;DATA_EO!L226,"")</f>
        <v/>
      </c>
      <c r="D229" s="273">
        <f>IF(A229&lt;&gt;"",""&amp;DATA_EO!B226,"")</f>
        <v/>
      </c>
      <c r="E229" s="273">
        <f>IF(A229&lt;&gt;"",""&amp;DATA_EO!G226,"")</f>
        <v/>
      </c>
      <c r="F229" s="273">
        <f>IF(A229&lt;&gt;"",""&amp;DATA_EO!K226,"")</f>
        <v/>
      </c>
      <c r="G229" s="273">
        <f>IF(A229&lt;&gt;"",""&amp;DATA_EO!J226,"")</f>
        <v/>
      </c>
      <c r="H229" s="273">
        <f>IF(A229&lt;&gt;"",""&amp;DATA_EO!M226,"")</f>
        <v/>
      </c>
    </row>
    <row r="230">
      <c r="A230" s="273">
        <f>IF(DATA_EO!A227&lt;&gt;"",""&amp;DATA_EO!A227,"")</f>
        <v/>
      </c>
      <c r="B230" s="273">
        <f>IF(A230&lt;&gt;"","EO","")</f>
        <v/>
      </c>
      <c r="C230" s="273">
        <f>IF(A230&lt;&gt;"",""&amp;DATA_EO!L227,"")</f>
        <v/>
      </c>
      <c r="D230" s="273">
        <f>IF(A230&lt;&gt;"",""&amp;DATA_EO!B227,"")</f>
        <v/>
      </c>
      <c r="E230" s="273">
        <f>IF(A230&lt;&gt;"",""&amp;DATA_EO!G227,"")</f>
        <v/>
      </c>
      <c r="F230" s="273">
        <f>IF(A230&lt;&gt;"",""&amp;DATA_EO!K227,"")</f>
        <v/>
      </c>
      <c r="G230" s="273">
        <f>IF(A230&lt;&gt;"",""&amp;DATA_EO!J227,"")</f>
        <v/>
      </c>
      <c r="H230" s="273">
        <f>IF(A230&lt;&gt;"",""&amp;DATA_EO!M227,"")</f>
        <v/>
      </c>
    </row>
    <row r="231">
      <c r="A231" s="273">
        <f>IF(DATA_EO!A228&lt;&gt;"",""&amp;DATA_EO!A228,"")</f>
        <v/>
      </c>
      <c r="B231" s="273">
        <f>IF(A231&lt;&gt;"","EO","")</f>
        <v/>
      </c>
      <c r="C231" s="273">
        <f>IF(A231&lt;&gt;"",""&amp;DATA_EO!L228,"")</f>
        <v/>
      </c>
      <c r="D231" s="273">
        <f>IF(A231&lt;&gt;"",""&amp;DATA_EO!B228,"")</f>
        <v/>
      </c>
      <c r="E231" s="273">
        <f>IF(A231&lt;&gt;"",""&amp;DATA_EO!G228,"")</f>
        <v/>
      </c>
      <c r="F231" s="273">
        <f>IF(A231&lt;&gt;"",""&amp;DATA_EO!K228,"")</f>
        <v/>
      </c>
      <c r="G231" s="273">
        <f>IF(A231&lt;&gt;"",""&amp;DATA_EO!J228,"")</f>
        <v/>
      </c>
      <c r="H231" s="273">
        <f>IF(A231&lt;&gt;"",""&amp;DATA_EO!M228,"")</f>
        <v/>
      </c>
    </row>
    <row r="232">
      <c r="A232" s="273">
        <f>IF(DATA_EO!A229&lt;&gt;"",""&amp;DATA_EO!A229,"")</f>
        <v/>
      </c>
      <c r="B232" s="273">
        <f>IF(A232&lt;&gt;"","EO","")</f>
        <v/>
      </c>
      <c r="C232" s="273">
        <f>IF(A232&lt;&gt;"",""&amp;DATA_EO!L229,"")</f>
        <v/>
      </c>
      <c r="D232" s="273">
        <f>IF(A232&lt;&gt;"",""&amp;DATA_EO!B229,"")</f>
        <v/>
      </c>
      <c r="E232" s="273">
        <f>IF(A232&lt;&gt;"",""&amp;DATA_EO!G229,"")</f>
        <v/>
      </c>
      <c r="F232" s="273">
        <f>IF(A232&lt;&gt;"",""&amp;DATA_EO!K229,"")</f>
        <v/>
      </c>
      <c r="G232" s="273">
        <f>IF(A232&lt;&gt;"",""&amp;DATA_EO!J229,"")</f>
        <v/>
      </c>
      <c r="H232" s="273">
        <f>IF(A232&lt;&gt;"",""&amp;DATA_EO!M229,"")</f>
        <v/>
      </c>
    </row>
    <row r="233">
      <c r="A233" s="273">
        <f>IF(DATA_EO!A230&lt;&gt;"",""&amp;DATA_EO!A230,"")</f>
        <v/>
      </c>
      <c r="B233" s="273">
        <f>IF(A233&lt;&gt;"","EO","")</f>
        <v/>
      </c>
      <c r="C233" s="273">
        <f>IF(A233&lt;&gt;"",""&amp;DATA_EO!L230,"")</f>
        <v/>
      </c>
      <c r="D233" s="273">
        <f>IF(A233&lt;&gt;"",""&amp;DATA_EO!B230,"")</f>
        <v/>
      </c>
      <c r="E233" s="273">
        <f>IF(A233&lt;&gt;"",""&amp;DATA_EO!G230,"")</f>
        <v/>
      </c>
      <c r="F233" s="273">
        <f>IF(A233&lt;&gt;"",""&amp;DATA_EO!K230,"")</f>
        <v/>
      </c>
      <c r="G233" s="273">
        <f>IF(A233&lt;&gt;"",""&amp;DATA_EO!J230,"")</f>
        <v/>
      </c>
      <c r="H233" s="273">
        <f>IF(A233&lt;&gt;"",""&amp;DATA_EO!M230,"")</f>
        <v/>
      </c>
    </row>
    <row r="234">
      <c r="A234" s="273">
        <f>IF(DATA_EO!A231&lt;&gt;"",""&amp;DATA_EO!A231,"")</f>
        <v/>
      </c>
      <c r="B234" s="273">
        <f>IF(A234&lt;&gt;"","EO","")</f>
        <v/>
      </c>
      <c r="C234" s="273">
        <f>IF(A234&lt;&gt;"",""&amp;DATA_EO!L231,"")</f>
        <v/>
      </c>
      <c r="D234" s="273">
        <f>IF(A234&lt;&gt;"",""&amp;DATA_EO!B231,"")</f>
        <v/>
      </c>
      <c r="E234" s="273">
        <f>IF(A234&lt;&gt;"",""&amp;DATA_EO!G231,"")</f>
        <v/>
      </c>
      <c r="F234" s="273">
        <f>IF(A234&lt;&gt;"",""&amp;DATA_EO!K231,"")</f>
        <v/>
      </c>
      <c r="G234" s="273">
        <f>IF(A234&lt;&gt;"",""&amp;DATA_EO!J231,"")</f>
        <v/>
      </c>
      <c r="H234" s="273">
        <f>IF(A234&lt;&gt;"",""&amp;DATA_EO!M231,"")</f>
        <v/>
      </c>
    </row>
    <row r="235">
      <c r="A235" s="273">
        <f>IF(DATA_EO!A232&lt;&gt;"",""&amp;DATA_EO!A232,"")</f>
        <v/>
      </c>
      <c r="B235" s="273">
        <f>IF(A235&lt;&gt;"","EO","")</f>
        <v/>
      </c>
      <c r="C235" s="273">
        <f>IF(A235&lt;&gt;"",""&amp;DATA_EO!L232,"")</f>
        <v/>
      </c>
      <c r="D235" s="273">
        <f>IF(A235&lt;&gt;"",""&amp;DATA_EO!B232,"")</f>
        <v/>
      </c>
      <c r="E235" s="273">
        <f>IF(A235&lt;&gt;"",""&amp;DATA_EO!G232,"")</f>
        <v/>
      </c>
      <c r="F235" s="273">
        <f>IF(A235&lt;&gt;"",""&amp;DATA_EO!K232,"")</f>
        <v/>
      </c>
      <c r="G235" s="273">
        <f>IF(A235&lt;&gt;"",""&amp;DATA_EO!J232,"")</f>
        <v/>
      </c>
      <c r="H235" s="273">
        <f>IF(A235&lt;&gt;"",""&amp;DATA_EO!M232,"")</f>
        <v/>
      </c>
    </row>
    <row r="236">
      <c r="A236" s="273">
        <f>IF(DATA_EO!A233&lt;&gt;"",""&amp;DATA_EO!A233,"")</f>
        <v/>
      </c>
      <c r="B236" s="273">
        <f>IF(A236&lt;&gt;"","EO","")</f>
        <v/>
      </c>
      <c r="C236" s="273">
        <f>IF(A236&lt;&gt;"",""&amp;DATA_EO!L233,"")</f>
        <v/>
      </c>
      <c r="D236" s="273">
        <f>IF(A236&lt;&gt;"",""&amp;DATA_EO!B233,"")</f>
        <v/>
      </c>
      <c r="E236" s="273">
        <f>IF(A236&lt;&gt;"",""&amp;DATA_EO!G233,"")</f>
        <v/>
      </c>
      <c r="F236" s="273">
        <f>IF(A236&lt;&gt;"",""&amp;DATA_EO!K233,"")</f>
        <v/>
      </c>
      <c r="G236" s="273">
        <f>IF(A236&lt;&gt;"",""&amp;DATA_EO!J233,"")</f>
        <v/>
      </c>
      <c r="H236" s="273">
        <f>IF(A236&lt;&gt;"",""&amp;DATA_EO!M233,"")</f>
        <v/>
      </c>
    </row>
    <row r="237">
      <c r="A237" s="273">
        <f>IF(DATA_EO!A234&lt;&gt;"",""&amp;DATA_EO!A234,"")</f>
        <v/>
      </c>
      <c r="B237" s="273">
        <f>IF(A237&lt;&gt;"","EO","")</f>
        <v/>
      </c>
      <c r="C237" s="273">
        <f>IF(A237&lt;&gt;"",""&amp;DATA_EO!L234,"")</f>
        <v/>
      </c>
      <c r="D237" s="273">
        <f>IF(A237&lt;&gt;"",""&amp;DATA_EO!B234,"")</f>
        <v/>
      </c>
      <c r="E237" s="273">
        <f>IF(A237&lt;&gt;"",""&amp;DATA_EO!G234,"")</f>
        <v/>
      </c>
      <c r="F237" s="273">
        <f>IF(A237&lt;&gt;"",""&amp;DATA_EO!K234,"")</f>
        <v/>
      </c>
      <c r="G237" s="273">
        <f>IF(A237&lt;&gt;"",""&amp;DATA_EO!J234,"")</f>
        <v/>
      </c>
      <c r="H237" s="273">
        <f>IF(A237&lt;&gt;"",""&amp;DATA_EO!M234,"")</f>
        <v/>
      </c>
    </row>
    <row r="238">
      <c r="A238" s="273">
        <f>IF(DATA_EO!A235&lt;&gt;"",""&amp;DATA_EO!A235,"")</f>
        <v/>
      </c>
      <c r="B238" s="273">
        <f>IF(A238&lt;&gt;"","EO","")</f>
        <v/>
      </c>
      <c r="C238" s="273">
        <f>IF(A238&lt;&gt;"",""&amp;DATA_EO!L235,"")</f>
        <v/>
      </c>
      <c r="D238" s="273">
        <f>IF(A238&lt;&gt;"",""&amp;DATA_EO!B235,"")</f>
        <v/>
      </c>
      <c r="E238" s="273">
        <f>IF(A238&lt;&gt;"",""&amp;DATA_EO!G235,"")</f>
        <v/>
      </c>
      <c r="F238" s="273">
        <f>IF(A238&lt;&gt;"",""&amp;DATA_EO!K235,"")</f>
        <v/>
      </c>
      <c r="G238" s="273">
        <f>IF(A238&lt;&gt;"",""&amp;DATA_EO!J235,"")</f>
        <v/>
      </c>
      <c r="H238" s="273">
        <f>IF(A238&lt;&gt;"",""&amp;DATA_EO!M235,"")</f>
        <v/>
      </c>
    </row>
    <row r="239">
      <c r="A239" s="273">
        <f>IF(DATA_EO!A236&lt;&gt;"",""&amp;DATA_EO!A236,"")</f>
        <v/>
      </c>
      <c r="B239" s="273">
        <f>IF(A239&lt;&gt;"","EO","")</f>
        <v/>
      </c>
      <c r="C239" s="273">
        <f>IF(A239&lt;&gt;"",""&amp;DATA_EO!L236,"")</f>
        <v/>
      </c>
      <c r="D239" s="273">
        <f>IF(A239&lt;&gt;"",""&amp;DATA_EO!B236,"")</f>
        <v/>
      </c>
      <c r="E239" s="273">
        <f>IF(A239&lt;&gt;"",""&amp;DATA_EO!G236,"")</f>
        <v/>
      </c>
      <c r="F239" s="273">
        <f>IF(A239&lt;&gt;"",""&amp;DATA_EO!K236,"")</f>
        <v/>
      </c>
      <c r="G239" s="273">
        <f>IF(A239&lt;&gt;"",""&amp;DATA_EO!J236,"")</f>
        <v/>
      </c>
      <c r="H239" s="273">
        <f>IF(A239&lt;&gt;"",""&amp;DATA_EO!M236,"")</f>
        <v/>
      </c>
    </row>
    <row r="240">
      <c r="A240" s="273">
        <f>IF(DATA_EO!A237&lt;&gt;"",""&amp;DATA_EO!A237,"")</f>
        <v/>
      </c>
      <c r="B240" s="273">
        <f>IF(A240&lt;&gt;"","EO","")</f>
        <v/>
      </c>
      <c r="C240" s="273">
        <f>IF(A240&lt;&gt;"",""&amp;DATA_EO!L237,"")</f>
        <v/>
      </c>
      <c r="D240" s="273">
        <f>IF(A240&lt;&gt;"",""&amp;DATA_EO!B237,"")</f>
        <v/>
      </c>
      <c r="E240" s="273">
        <f>IF(A240&lt;&gt;"",""&amp;DATA_EO!G237,"")</f>
        <v/>
      </c>
      <c r="F240" s="273">
        <f>IF(A240&lt;&gt;"",""&amp;DATA_EO!K237,"")</f>
        <v/>
      </c>
      <c r="G240" s="273">
        <f>IF(A240&lt;&gt;"",""&amp;DATA_EO!J237,"")</f>
        <v/>
      </c>
      <c r="H240" s="273">
        <f>IF(A240&lt;&gt;"",""&amp;DATA_EO!M237,"")</f>
        <v/>
      </c>
    </row>
    <row r="241">
      <c r="A241" s="273">
        <f>IF(DATA_EO!A238&lt;&gt;"",""&amp;DATA_EO!A238,"")</f>
        <v/>
      </c>
      <c r="B241" s="273">
        <f>IF(A241&lt;&gt;"","EO","")</f>
        <v/>
      </c>
      <c r="C241" s="273">
        <f>IF(A241&lt;&gt;"",""&amp;DATA_EO!L238,"")</f>
        <v/>
      </c>
      <c r="D241" s="273">
        <f>IF(A241&lt;&gt;"",""&amp;DATA_EO!B238,"")</f>
        <v/>
      </c>
      <c r="E241" s="273">
        <f>IF(A241&lt;&gt;"",""&amp;DATA_EO!G238,"")</f>
        <v/>
      </c>
      <c r="F241" s="273">
        <f>IF(A241&lt;&gt;"",""&amp;DATA_EO!K238,"")</f>
        <v/>
      </c>
      <c r="G241" s="273">
        <f>IF(A241&lt;&gt;"",""&amp;DATA_EO!J238,"")</f>
        <v/>
      </c>
      <c r="H241" s="273">
        <f>IF(A241&lt;&gt;"",""&amp;DATA_EO!M238,"")</f>
        <v/>
      </c>
    </row>
    <row r="242">
      <c r="A242" s="273">
        <f>IF(DATA_EO!A239&lt;&gt;"",""&amp;DATA_EO!A239,"")</f>
        <v/>
      </c>
      <c r="B242" s="273">
        <f>IF(A242&lt;&gt;"","EO","")</f>
        <v/>
      </c>
      <c r="C242" s="273">
        <f>IF(A242&lt;&gt;"",""&amp;DATA_EO!L239,"")</f>
        <v/>
      </c>
      <c r="D242" s="273">
        <f>IF(A242&lt;&gt;"",""&amp;DATA_EO!B239,"")</f>
        <v/>
      </c>
      <c r="E242" s="273">
        <f>IF(A242&lt;&gt;"",""&amp;DATA_EO!G239,"")</f>
        <v/>
      </c>
      <c r="F242" s="273">
        <f>IF(A242&lt;&gt;"",""&amp;DATA_EO!K239,"")</f>
        <v/>
      </c>
      <c r="G242" s="273">
        <f>IF(A242&lt;&gt;"",""&amp;DATA_EO!J239,"")</f>
        <v/>
      </c>
      <c r="H242" s="273">
        <f>IF(A242&lt;&gt;"",""&amp;DATA_EO!M239,"")</f>
        <v/>
      </c>
    </row>
    <row r="243">
      <c r="A243" s="273">
        <f>IF(DATA_EO!A240&lt;&gt;"",""&amp;DATA_EO!A240,"")</f>
        <v/>
      </c>
      <c r="B243" s="273">
        <f>IF(A243&lt;&gt;"","EO","")</f>
        <v/>
      </c>
      <c r="C243" s="273">
        <f>IF(A243&lt;&gt;"",""&amp;DATA_EO!L240,"")</f>
        <v/>
      </c>
      <c r="D243" s="273">
        <f>IF(A243&lt;&gt;"",""&amp;DATA_EO!B240,"")</f>
        <v/>
      </c>
      <c r="E243" s="273">
        <f>IF(A243&lt;&gt;"",""&amp;DATA_EO!G240,"")</f>
        <v/>
      </c>
      <c r="F243" s="273">
        <f>IF(A243&lt;&gt;"",""&amp;DATA_EO!K240,"")</f>
        <v/>
      </c>
      <c r="G243" s="273">
        <f>IF(A243&lt;&gt;"",""&amp;DATA_EO!J240,"")</f>
        <v/>
      </c>
      <c r="H243" s="273">
        <f>IF(A243&lt;&gt;"",""&amp;DATA_EO!M240,"")</f>
        <v/>
      </c>
    </row>
    <row r="244">
      <c r="A244" s="273">
        <f>IF(DATA_EO!A241&lt;&gt;"",""&amp;DATA_EO!A241,"")</f>
        <v/>
      </c>
      <c r="B244" s="273">
        <f>IF(A244&lt;&gt;"","EO","")</f>
        <v/>
      </c>
      <c r="C244" s="273">
        <f>IF(A244&lt;&gt;"",""&amp;DATA_EO!L241,"")</f>
        <v/>
      </c>
      <c r="D244" s="273">
        <f>IF(A244&lt;&gt;"",""&amp;DATA_EO!B241,"")</f>
        <v/>
      </c>
      <c r="E244" s="273">
        <f>IF(A244&lt;&gt;"",""&amp;DATA_EO!G241,"")</f>
        <v/>
      </c>
      <c r="F244" s="273">
        <f>IF(A244&lt;&gt;"",""&amp;DATA_EO!K241,"")</f>
        <v/>
      </c>
      <c r="G244" s="273">
        <f>IF(A244&lt;&gt;"",""&amp;DATA_EO!J241,"")</f>
        <v/>
      </c>
      <c r="H244" s="273">
        <f>IF(A244&lt;&gt;"",""&amp;DATA_EO!M241,"")</f>
        <v/>
      </c>
    </row>
    <row r="245">
      <c r="A245" s="273">
        <f>IF(DATA_EO!A242&lt;&gt;"",""&amp;DATA_EO!A242,"")</f>
        <v/>
      </c>
      <c r="B245" s="273">
        <f>IF(A245&lt;&gt;"","EO","")</f>
        <v/>
      </c>
      <c r="C245" s="273">
        <f>IF(A245&lt;&gt;"",""&amp;DATA_EO!L242,"")</f>
        <v/>
      </c>
      <c r="D245" s="273">
        <f>IF(A245&lt;&gt;"",""&amp;DATA_EO!B242,"")</f>
        <v/>
      </c>
      <c r="E245" s="273">
        <f>IF(A245&lt;&gt;"",""&amp;DATA_EO!G242,"")</f>
        <v/>
      </c>
      <c r="F245" s="273">
        <f>IF(A245&lt;&gt;"",""&amp;DATA_EO!K242,"")</f>
        <v/>
      </c>
      <c r="G245" s="273">
        <f>IF(A245&lt;&gt;"",""&amp;DATA_EO!J242,"")</f>
        <v/>
      </c>
      <c r="H245" s="273">
        <f>IF(A245&lt;&gt;"",""&amp;DATA_EO!M242,"")</f>
        <v/>
      </c>
    </row>
    <row r="246">
      <c r="A246" s="273">
        <f>IF(DATA_EO!A243&lt;&gt;"",""&amp;DATA_EO!A243,"")</f>
        <v/>
      </c>
      <c r="B246" s="273">
        <f>IF(A246&lt;&gt;"","EO","")</f>
        <v/>
      </c>
      <c r="C246" s="273">
        <f>IF(A246&lt;&gt;"",""&amp;DATA_EO!L243,"")</f>
        <v/>
      </c>
      <c r="D246" s="273">
        <f>IF(A246&lt;&gt;"",""&amp;DATA_EO!B243,"")</f>
        <v/>
      </c>
      <c r="E246" s="273">
        <f>IF(A246&lt;&gt;"",""&amp;DATA_EO!G243,"")</f>
        <v/>
      </c>
      <c r="F246" s="273">
        <f>IF(A246&lt;&gt;"",""&amp;DATA_EO!K243,"")</f>
        <v/>
      </c>
      <c r="G246" s="273">
        <f>IF(A246&lt;&gt;"",""&amp;DATA_EO!J243,"")</f>
        <v/>
      </c>
      <c r="H246" s="273">
        <f>IF(A246&lt;&gt;"",""&amp;DATA_EO!M243,"")</f>
        <v/>
      </c>
    </row>
    <row r="247">
      <c r="A247" s="273">
        <f>IF(DATA_EO!A244&lt;&gt;"",""&amp;DATA_EO!A244,"")</f>
        <v/>
      </c>
      <c r="B247" s="273">
        <f>IF(A247&lt;&gt;"","EO","")</f>
        <v/>
      </c>
      <c r="C247" s="273">
        <f>IF(A247&lt;&gt;"",""&amp;DATA_EO!L244,"")</f>
        <v/>
      </c>
      <c r="D247" s="273">
        <f>IF(A247&lt;&gt;"",""&amp;DATA_EO!B244,"")</f>
        <v/>
      </c>
      <c r="E247" s="273">
        <f>IF(A247&lt;&gt;"",""&amp;DATA_EO!G244,"")</f>
        <v/>
      </c>
      <c r="F247" s="273">
        <f>IF(A247&lt;&gt;"",""&amp;DATA_EO!K244,"")</f>
        <v/>
      </c>
      <c r="G247" s="273">
        <f>IF(A247&lt;&gt;"",""&amp;DATA_EO!J244,"")</f>
        <v/>
      </c>
      <c r="H247" s="273">
        <f>IF(A247&lt;&gt;"",""&amp;DATA_EO!M244,"")</f>
        <v/>
      </c>
    </row>
    <row r="248">
      <c r="A248" s="273">
        <f>IF(DATA_EO!A245&lt;&gt;"",""&amp;DATA_EO!A245,"")</f>
        <v/>
      </c>
      <c r="B248" s="273">
        <f>IF(A248&lt;&gt;"","EO","")</f>
        <v/>
      </c>
      <c r="C248" s="273">
        <f>IF(A248&lt;&gt;"",""&amp;DATA_EO!L245,"")</f>
        <v/>
      </c>
      <c r="D248" s="273">
        <f>IF(A248&lt;&gt;"",""&amp;DATA_EO!B245,"")</f>
        <v/>
      </c>
      <c r="E248" s="273">
        <f>IF(A248&lt;&gt;"",""&amp;DATA_EO!G245,"")</f>
        <v/>
      </c>
      <c r="F248" s="273">
        <f>IF(A248&lt;&gt;"",""&amp;DATA_EO!K245,"")</f>
        <v/>
      </c>
      <c r="G248" s="273">
        <f>IF(A248&lt;&gt;"",""&amp;DATA_EO!J245,"")</f>
        <v/>
      </c>
      <c r="H248" s="273">
        <f>IF(A248&lt;&gt;"",""&amp;DATA_EO!M245,"")</f>
        <v/>
      </c>
    </row>
    <row r="249">
      <c r="A249" s="273">
        <f>IF(DATA_EO!A246&lt;&gt;"",""&amp;DATA_EO!A246,"")</f>
        <v/>
      </c>
      <c r="B249" s="273">
        <f>IF(A249&lt;&gt;"","EO","")</f>
        <v/>
      </c>
      <c r="C249" s="273">
        <f>IF(A249&lt;&gt;"",""&amp;DATA_EO!L246,"")</f>
        <v/>
      </c>
      <c r="D249" s="273">
        <f>IF(A249&lt;&gt;"",""&amp;DATA_EO!B246,"")</f>
        <v/>
      </c>
      <c r="E249" s="273">
        <f>IF(A249&lt;&gt;"",""&amp;DATA_EO!G246,"")</f>
        <v/>
      </c>
      <c r="F249" s="273">
        <f>IF(A249&lt;&gt;"",""&amp;DATA_EO!K246,"")</f>
        <v/>
      </c>
      <c r="G249" s="273">
        <f>IF(A249&lt;&gt;"",""&amp;DATA_EO!J246,"")</f>
        <v/>
      </c>
      <c r="H249" s="273">
        <f>IF(A249&lt;&gt;"",""&amp;DATA_EO!M246,"")</f>
        <v/>
      </c>
    </row>
    <row r="250">
      <c r="A250" s="273">
        <f>IF(DATA_EO!A247&lt;&gt;"",""&amp;DATA_EO!A247,"")</f>
        <v/>
      </c>
      <c r="B250" s="273">
        <f>IF(A250&lt;&gt;"","EO","")</f>
        <v/>
      </c>
      <c r="C250" s="273">
        <f>IF(A250&lt;&gt;"",""&amp;DATA_EO!L247,"")</f>
        <v/>
      </c>
      <c r="D250" s="273">
        <f>IF(A250&lt;&gt;"",""&amp;DATA_EO!B247,"")</f>
        <v/>
      </c>
      <c r="E250" s="273">
        <f>IF(A250&lt;&gt;"",""&amp;DATA_EO!G247,"")</f>
        <v/>
      </c>
      <c r="F250" s="273">
        <f>IF(A250&lt;&gt;"",""&amp;DATA_EO!K247,"")</f>
        <v/>
      </c>
      <c r="G250" s="273">
        <f>IF(A250&lt;&gt;"",""&amp;DATA_EO!J247,"")</f>
        <v/>
      </c>
      <c r="H250" s="273">
        <f>IF(A250&lt;&gt;"",""&amp;DATA_EO!M247,"")</f>
        <v/>
      </c>
    </row>
    <row r="251">
      <c r="A251" s="273">
        <f>IF(DATA_EO!A248&lt;&gt;"",""&amp;DATA_EO!A248,"")</f>
        <v/>
      </c>
      <c r="B251" s="273">
        <f>IF(A251&lt;&gt;"","EO","")</f>
        <v/>
      </c>
      <c r="C251" s="273">
        <f>IF(A251&lt;&gt;"",""&amp;DATA_EO!L248,"")</f>
        <v/>
      </c>
      <c r="D251" s="273">
        <f>IF(A251&lt;&gt;"",""&amp;DATA_EO!B248,"")</f>
        <v/>
      </c>
      <c r="E251" s="273">
        <f>IF(A251&lt;&gt;"",""&amp;DATA_EO!G248,"")</f>
        <v/>
      </c>
      <c r="F251" s="273">
        <f>IF(A251&lt;&gt;"",""&amp;DATA_EO!K248,"")</f>
        <v/>
      </c>
      <c r="G251" s="273">
        <f>IF(A251&lt;&gt;"",""&amp;DATA_EO!J248,"")</f>
        <v/>
      </c>
      <c r="H251" s="273">
        <f>IF(A251&lt;&gt;"",""&amp;DATA_EO!M248,"")</f>
        <v/>
      </c>
    </row>
    <row r="252">
      <c r="A252" s="273">
        <f>IF(DATA_EO!A249&lt;&gt;"",""&amp;DATA_EO!A249,"")</f>
        <v/>
      </c>
      <c r="B252" s="273">
        <f>IF(A252&lt;&gt;"","EO","")</f>
        <v/>
      </c>
      <c r="C252" s="273">
        <f>IF(A252&lt;&gt;"",""&amp;DATA_EO!L249,"")</f>
        <v/>
      </c>
      <c r="D252" s="273">
        <f>IF(A252&lt;&gt;"",""&amp;DATA_EO!B249,"")</f>
        <v/>
      </c>
      <c r="E252" s="273">
        <f>IF(A252&lt;&gt;"",""&amp;DATA_EO!G249,"")</f>
        <v/>
      </c>
      <c r="F252" s="273">
        <f>IF(A252&lt;&gt;"",""&amp;DATA_EO!K249,"")</f>
        <v/>
      </c>
      <c r="G252" s="273">
        <f>IF(A252&lt;&gt;"",""&amp;DATA_EO!J249,"")</f>
        <v/>
      </c>
      <c r="H252" s="273">
        <f>IF(A252&lt;&gt;"",""&amp;DATA_EO!M249,"")</f>
        <v/>
      </c>
    </row>
    <row r="253">
      <c r="A253" s="273">
        <f>IF(DATA_EO!A250&lt;&gt;"",""&amp;DATA_EO!A250,"")</f>
        <v/>
      </c>
      <c r="B253" s="273">
        <f>IF(A253&lt;&gt;"","EO","")</f>
        <v/>
      </c>
      <c r="C253" s="273">
        <f>IF(A253&lt;&gt;"",""&amp;DATA_EO!L250,"")</f>
        <v/>
      </c>
      <c r="D253" s="273">
        <f>IF(A253&lt;&gt;"",""&amp;DATA_EO!B250,"")</f>
        <v/>
      </c>
      <c r="E253" s="273">
        <f>IF(A253&lt;&gt;"",""&amp;DATA_EO!G250,"")</f>
        <v/>
      </c>
      <c r="F253" s="273">
        <f>IF(A253&lt;&gt;"",""&amp;DATA_EO!K250,"")</f>
        <v/>
      </c>
      <c r="G253" s="273">
        <f>IF(A253&lt;&gt;"",""&amp;DATA_EO!J250,"")</f>
        <v/>
      </c>
      <c r="H253" s="273">
        <f>IF(A253&lt;&gt;"",""&amp;DATA_EO!M250,"")</f>
        <v/>
      </c>
    </row>
    <row r="254">
      <c r="A254" s="273">
        <f>IF(DATA_EO!A251&lt;&gt;"",""&amp;DATA_EO!A251,"")</f>
        <v/>
      </c>
      <c r="B254" s="273">
        <f>IF(A254&lt;&gt;"","EO","")</f>
        <v/>
      </c>
      <c r="C254" s="273">
        <f>IF(A254&lt;&gt;"",""&amp;DATA_EO!L251,"")</f>
        <v/>
      </c>
      <c r="D254" s="273">
        <f>IF(A254&lt;&gt;"",""&amp;DATA_EO!B251,"")</f>
        <v/>
      </c>
      <c r="E254" s="273">
        <f>IF(A254&lt;&gt;"",""&amp;DATA_EO!G251,"")</f>
        <v/>
      </c>
      <c r="F254" s="273">
        <f>IF(A254&lt;&gt;"",""&amp;DATA_EO!K251,"")</f>
        <v/>
      </c>
      <c r="G254" s="273">
        <f>IF(A254&lt;&gt;"",""&amp;DATA_EO!J251,"")</f>
        <v/>
      </c>
      <c r="H254" s="273">
        <f>IF(A254&lt;&gt;"",""&amp;DATA_EO!M251,"")</f>
        <v/>
      </c>
    </row>
    <row r="255">
      <c r="A255" s="273">
        <f>IF(DATA_EO!A252&lt;&gt;"",""&amp;DATA_EO!A252,"")</f>
        <v/>
      </c>
      <c r="B255" s="273">
        <f>IF(A255&lt;&gt;"","EO","")</f>
        <v/>
      </c>
      <c r="C255" s="273">
        <f>IF(A255&lt;&gt;"",""&amp;DATA_EO!L252,"")</f>
        <v/>
      </c>
      <c r="D255" s="273">
        <f>IF(A255&lt;&gt;"",""&amp;DATA_EO!B252,"")</f>
        <v/>
      </c>
      <c r="E255" s="273">
        <f>IF(A255&lt;&gt;"",""&amp;DATA_EO!G252,"")</f>
        <v/>
      </c>
      <c r="F255" s="273">
        <f>IF(A255&lt;&gt;"",""&amp;DATA_EO!K252,"")</f>
        <v/>
      </c>
      <c r="G255" s="273">
        <f>IF(A255&lt;&gt;"",""&amp;DATA_EO!J252,"")</f>
        <v/>
      </c>
      <c r="H255" s="273">
        <f>IF(A255&lt;&gt;"",""&amp;DATA_EO!M252,"")</f>
        <v/>
      </c>
    </row>
    <row r="256">
      <c r="A256" s="273">
        <f>IF(DATA_EO!A253&lt;&gt;"",""&amp;DATA_EO!A253,"")</f>
        <v/>
      </c>
      <c r="B256" s="273">
        <f>IF(A256&lt;&gt;"","EO","")</f>
        <v/>
      </c>
      <c r="C256" s="273">
        <f>IF(A256&lt;&gt;"",""&amp;DATA_EO!L253,"")</f>
        <v/>
      </c>
      <c r="D256" s="273">
        <f>IF(A256&lt;&gt;"",""&amp;DATA_EO!B253,"")</f>
        <v/>
      </c>
      <c r="E256" s="273">
        <f>IF(A256&lt;&gt;"",""&amp;DATA_EO!G253,"")</f>
        <v/>
      </c>
      <c r="F256" s="273">
        <f>IF(A256&lt;&gt;"",""&amp;DATA_EO!K253,"")</f>
        <v/>
      </c>
      <c r="G256" s="273">
        <f>IF(A256&lt;&gt;"",""&amp;DATA_EO!J253,"")</f>
        <v/>
      </c>
      <c r="H256" s="273">
        <f>IF(A256&lt;&gt;"",""&amp;DATA_EO!M253,"")</f>
        <v/>
      </c>
    </row>
    <row r="257">
      <c r="A257" s="273">
        <f>IF(DATA_EO!A254&lt;&gt;"",""&amp;DATA_EO!A254,"")</f>
        <v/>
      </c>
      <c r="B257" s="273">
        <f>IF(A257&lt;&gt;"","EO","")</f>
        <v/>
      </c>
      <c r="C257" s="273">
        <f>IF(A257&lt;&gt;"",""&amp;DATA_EO!L254,"")</f>
        <v/>
      </c>
      <c r="D257" s="273">
        <f>IF(A257&lt;&gt;"",""&amp;DATA_EO!B254,"")</f>
        <v/>
      </c>
      <c r="E257" s="273">
        <f>IF(A257&lt;&gt;"",""&amp;DATA_EO!G254,"")</f>
        <v/>
      </c>
      <c r="F257" s="273">
        <f>IF(A257&lt;&gt;"",""&amp;DATA_EO!K254,"")</f>
        <v/>
      </c>
      <c r="G257" s="273">
        <f>IF(A257&lt;&gt;"",""&amp;DATA_EO!J254,"")</f>
        <v/>
      </c>
      <c r="H257" s="273">
        <f>IF(A257&lt;&gt;"",""&amp;DATA_EO!M254,"")</f>
        <v/>
      </c>
    </row>
    <row r="258">
      <c r="A258" s="273">
        <f>IF(DATA_EO!A255&lt;&gt;"",""&amp;DATA_EO!A255,"")</f>
        <v/>
      </c>
      <c r="B258" s="273">
        <f>IF(A258&lt;&gt;"","EO","")</f>
        <v/>
      </c>
      <c r="C258" s="273">
        <f>IF(A258&lt;&gt;"",""&amp;DATA_EO!L255,"")</f>
        <v/>
      </c>
      <c r="D258" s="273">
        <f>IF(A258&lt;&gt;"",""&amp;DATA_EO!B255,"")</f>
        <v/>
      </c>
      <c r="E258" s="273">
        <f>IF(A258&lt;&gt;"",""&amp;DATA_EO!G255,"")</f>
        <v/>
      </c>
      <c r="F258" s="273">
        <f>IF(A258&lt;&gt;"",""&amp;DATA_EO!K255,"")</f>
        <v/>
      </c>
      <c r="G258" s="273">
        <f>IF(A258&lt;&gt;"",""&amp;DATA_EO!J255,"")</f>
        <v/>
      </c>
      <c r="H258" s="273">
        <f>IF(A258&lt;&gt;"",""&amp;DATA_EO!M255,"")</f>
        <v/>
      </c>
    </row>
    <row r="259">
      <c r="A259" s="273">
        <f>IF(DATA_EO!A256&lt;&gt;"",""&amp;DATA_EO!A256,"")</f>
        <v/>
      </c>
      <c r="B259" s="273">
        <f>IF(A259&lt;&gt;"","EO","")</f>
        <v/>
      </c>
      <c r="C259" s="273">
        <f>IF(A259&lt;&gt;"",""&amp;DATA_EO!L256,"")</f>
        <v/>
      </c>
      <c r="D259" s="273">
        <f>IF(A259&lt;&gt;"",""&amp;DATA_EO!B256,"")</f>
        <v/>
      </c>
      <c r="E259" s="273">
        <f>IF(A259&lt;&gt;"",""&amp;DATA_EO!G256,"")</f>
        <v/>
      </c>
      <c r="F259" s="273">
        <f>IF(A259&lt;&gt;"",""&amp;DATA_EO!K256,"")</f>
        <v/>
      </c>
      <c r="G259" s="273">
        <f>IF(A259&lt;&gt;"",""&amp;DATA_EO!J256,"")</f>
        <v/>
      </c>
      <c r="H259" s="273">
        <f>IF(A259&lt;&gt;"",""&amp;DATA_EO!M256,"")</f>
        <v/>
      </c>
    </row>
    <row r="260">
      <c r="A260" s="273">
        <f>IF(DATA_EO!A257&lt;&gt;"",""&amp;DATA_EO!A257,"")</f>
        <v/>
      </c>
      <c r="B260" s="273">
        <f>IF(A260&lt;&gt;"","EO","")</f>
        <v/>
      </c>
      <c r="C260" s="273">
        <f>IF(A260&lt;&gt;"",""&amp;DATA_EO!L257,"")</f>
        <v/>
      </c>
      <c r="D260" s="273">
        <f>IF(A260&lt;&gt;"",""&amp;DATA_EO!B257,"")</f>
        <v/>
      </c>
      <c r="E260" s="273">
        <f>IF(A260&lt;&gt;"",""&amp;DATA_EO!G257,"")</f>
        <v/>
      </c>
      <c r="F260" s="273">
        <f>IF(A260&lt;&gt;"",""&amp;DATA_EO!K257,"")</f>
        <v/>
      </c>
      <c r="G260" s="273">
        <f>IF(A260&lt;&gt;"",""&amp;DATA_EO!J257,"")</f>
        <v/>
      </c>
      <c r="H260" s="273">
        <f>IF(A260&lt;&gt;"",""&amp;DATA_EO!M257,"")</f>
        <v/>
      </c>
    </row>
    <row r="261">
      <c r="A261" s="273">
        <f>IF(DATA_EO!A258&lt;&gt;"",""&amp;DATA_EO!A258,"")</f>
        <v/>
      </c>
      <c r="B261" s="273">
        <f>IF(A261&lt;&gt;"","EO","")</f>
        <v/>
      </c>
      <c r="C261" s="273">
        <f>IF(A261&lt;&gt;"",""&amp;DATA_EO!L258,"")</f>
        <v/>
      </c>
      <c r="D261" s="273">
        <f>IF(A261&lt;&gt;"",""&amp;DATA_EO!B258,"")</f>
        <v/>
      </c>
      <c r="E261" s="273">
        <f>IF(A261&lt;&gt;"",""&amp;DATA_EO!G258,"")</f>
        <v/>
      </c>
      <c r="F261" s="273">
        <f>IF(A261&lt;&gt;"",""&amp;DATA_EO!K258,"")</f>
        <v/>
      </c>
      <c r="G261" s="273">
        <f>IF(A261&lt;&gt;"",""&amp;DATA_EO!J258,"")</f>
        <v/>
      </c>
      <c r="H261" s="273">
        <f>IF(A261&lt;&gt;"",""&amp;DATA_EO!M258,"")</f>
        <v/>
      </c>
    </row>
    <row r="262">
      <c r="A262" s="273">
        <f>IF(DATA_EO!A259&lt;&gt;"",""&amp;DATA_EO!A259,"")</f>
        <v/>
      </c>
      <c r="B262" s="273">
        <f>IF(A262&lt;&gt;"","EO","")</f>
        <v/>
      </c>
      <c r="C262" s="273">
        <f>IF(A262&lt;&gt;"",""&amp;DATA_EO!L259,"")</f>
        <v/>
      </c>
      <c r="D262" s="273">
        <f>IF(A262&lt;&gt;"",""&amp;DATA_EO!B259,"")</f>
        <v/>
      </c>
      <c r="E262" s="273">
        <f>IF(A262&lt;&gt;"",""&amp;DATA_EO!G259,"")</f>
        <v/>
      </c>
      <c r="F262" s="273">
        <f>IF(A262&lt;&gt;"",""&amp;DATA_EO!K259,"")</f>
        <v/>
      </c>
      <c r="G262" s="273">
        <f>IF(A262&lt;&gt;"",""&amp;DATA_EO!J259,"")</f>
        <v/>
      </c>
      <c r="H262" s="273">
        <f>IF(A262&lt;&gt;"",""&amp;DATA_EO!M259,"")</f>
        <v/>
      </c>
    </row>
    <row r="263">
      <c r="A263" s="273">
        <f>IF(DATA_EO!A260&lt;&gt;"",""&amp;DATA_EO!A260,"")</f>
        <v/>
      </c>
      <c r="B263" s="273">
        <f>IF(A263&lt;&gt;"","EO","")</f>
        <v/>
      </c>
      <c r="C263" s="273">
        <f>IF(A263&lt;&gt;"",""&amp;DATA_EO!L260,"")</f>
        <v/>
      </c>
      <c r="D263" s="273">
        <f>IF(A263&lt;&gt;"",""&amp;DATA_EO!B260,"")</f>
        <v/>
      </c>
      <c r="E263" s="273">
        <f>IF(A263&lt;&gt;"",""&amp;DATA_EO!G260,"")</f>
        <v/>
      </c>
      <c r="F263" s="273">
        <f>IF(A263&lt;&gt;"",""&amp;DATA_EO!K260,"")</f>
        <v/>
      </c>
      <c r="G263" s="273">
        <f>IF(A263&lt;&gt;"",""&amp;DATA_EO!J260,"")</f>
        <v/>
      </c>
      <c r="H263" s="273">
        <f>IF(A263&lt;&gt;"",""&amp;DATA_EO!M260,"")</f>
        <v/>
      </c>
    </row>
    <row r="264">
      <c r="A264" s="273">
        <f>IF(DATA_EO!A261&lt;&gt;"",""&amp;DATA_EO!A261,"")</f>
        <v/>
      </c>
      <c r="B264" s="273">
        <f>IF(A264&lt;&gt;"","EO","")</f>
        <v/>
      </c>
      <c r="C264" s="273">
        <f>IF(A264&lt;&gt;"",""&amp;DATA_EO!L261,"")</f>
        <v/>
      </c>
      <c r="D264" s="273">
        <f>IF(A264&lt;&gt;"",""&amp;DATA_EO!B261,"")</f>
        <v/>
      </c>
      <c r="E264" s="273">
        <f>IF(A264&lt;&gt;"",""&amp;DATA_EO!G261,"")</f>
        <v/>
      </c>
      <c r="F264" s="273">
        <f>IF(A264&lt;&gt;"",""&amp;DATA_EO!K261,"")</f>
        <v/>
      </c>
      <c r="G264" s="273">
        <f>IF(A264&lt;&gt;"",""&amp;DATA_EO!J261,"")</f>
        <v/>
      </c>
      <c r="H264" s="273">
        <f>IF(A264&lt;&gt;"",""&amp;DATA_EO!M261,"")</f>
        <v/>
      </c>
    </row>
    <row r="265">
      <c r="A265" s="273">
        <f>IF(DATA_EO!A262&lt;&gt;"",""&amp;DATA_EO!A262,"")</f>
        <v/>
      </c>
      <c r="B265" s="273">
        <f>IF(A265&lt;&gt;"","EO","")</f>
        <v/>
      </c>
      <c r="C265" s="273">
        <f>IF(A265&lt;&gt;"",""&amp;DATA_EO!L262,"")</f>
        <v/>
      </c>
      <c r="D265" s="273">
        <f>IF(A265&lt;&gt;"",""&amp;DATA_EO!B262,"")</f>
        <v/>
      </c>
      <c r="E265" s="273">
        <f>IF(A265&lt;&gt;"",""&amp;DATA_EO!G262,"")</f>
        <v/>
      </c>
      <c r="F265" s="273">
        <f>IF(A265&lt;&gt;"",""&amp;DATA_EO!K262,"")</f>
        <v/>
      </c>
      <c r="G265" s="273">
        <f>IF(A265&lt;&gt;"",""&amp;DATA_EO!J262,"")</f>
        <v/>
      </c>
      <c r="H265" s="273">
        <f>IF(A265&lt;&gt;"",""&amp;DATA_EO!M262,"")</f>
        <v/>
      </c>
    </row>
    <row r="266">
      <c r="A266" s="273">
        <f>IF(DATA_EO!A263&lt;&gt;"",""&amp;DATA_EO!A263,"")</f>
        <v/>
      </c>
      <c r="B266" s="273">
        <f>IF(A266&lt;&gt;"","EO","")</f>
        <v/>
      </c>
      <c r="C266" s="273">
        <f>IF(A266&lt;&gt;"",""&amp;DATA_EO!L263,"")</f>
        <v/>
      </c>
      <c r="D266" s="273">
        <f>IF(A266&lt;&gt;"",""&amp;DATA_EO!B263,"")</f>
        <v/>
      </c>
      <c r="E266" s="273">
        <f>IF(A266&lt;&gt;"",""&amp;DATA_EO!G263,"")</f>
        <v/>
      </c>
      <c r="F266" s="273">
        <f>IF(A266&lt;&gt;"",""&amp;DATA_EO!K263,"")</f>
        <v/>
      </c>
      <c r="G266" s="273">
        <f>IF(A266&lt;&gt;"",""&amp;DATA_EO!J263,"")</f>
        <v/>
      </c>
      <c r="H266" s="273">
        <f>IF(A266&lt;&gt;"",""&amp;DATA_EO!M263,"")</f>
        <v/>
      </c>
    </row>
    <row r="267">
      <c r="A267" s="273">
        <f>IF(DATA_EO!A264&lt;&gt;"",""&amp;DATA_EO!A264,"")</f>
        <v/>
      </c>
      <c r="B267" s="273">
        <f>IF(A267&lt;&gt;"","EO","")</f>
        <v/>
      </c>
      <c r="C267" s="273">
        <f>IF(A267&lt;&gt;"",""&amp;DATA_EO!L264,"")</f>
        <v/>
      </c>
      <c r="D267" s="273">
        <f>IF(A267&lt;&gt;"",""&amp;DATA_EO!B264,"")</f>
        <v/>
      </c>
      <c r="E267" s="273">
        <f>IF(A267&lt;&gt;"",""&amp;DATA_EO!G264,"")</f>
        <v/>
      </c>
      <c r="F267" s="273">
        <f>IF(A267&lt;&gt;"",""&amp;DATA_EO!K264,"")</f>
        <v/>
      </c>
      <c r="G267" s="273">
        <f>IF(A267&lt;&gt;"",""&amp;DATA_EO!J264,"")</f>
        <v/>
      </c>
      <c r="H267" s="273">
        <f>IF(A267&lt;&gt;"",""&amp;DATA_EO!M264,"")</f>
        <v/>
      </c>
    </row>
    <row r="268">
      <c r="A268" s="273">
        <f>IF(DATA_EO!A265&lt;&gt;"",""&amp;DATA_EO!A265,"")</f>
        <v/>
      </c>
      <c r="B268" s="273">
        <f>IF(A268&lt;&gt;"","EO","")</f>
        <v/>
      </c>
      <c r="C268" s="273">
        <f>IF(A268&lt;&gt;"",""&amp;DATA_EO!L265,"")</f>
        <v/>
      </c>
      <c r="D268" s="273">
        <f>IF(A268&lt;&gt;"",""&amp;DATA_EO!B265,"")</f>
        <v/>
      </c>
      <c r="E268" s="273">
        <f>IF(A268&lt;&gt;"",""&amp;DATA_EO!G265,"")</f>
        <v/>
      </c>
      <c r="F268" s="273">
        <f>IF(A268&lt;&gt;"",""&amp;DATA_EO!K265,"")</f>
        <v/>
      </c>
      <c r="G268" s="273">
        <f>IF(A268&lt;&gt;"",""&amp;DATA_EO!J265,"")</f>
        <v/>
      </c>
      <c r="H268" s="273">
        <f>IF(A268&lt;&gt;"",""&amp;DATA_EO!M265,"")</f>
        <v/>
      </c>
    </row>
    <row r="269">
      <c r="A269" s="273">
        <f>IF(DATA_EO!A266&lt;&gt;"",""&amp;DATA_EO!A266,"")</f>
        <v/>
      </c>
      <c r="B269" s="273">
        <f>IF(A269&lt;&gt;"","EO","")</f>
        <v/>
      </c>
      <c r="C269" s="273">
        <f>IF(A269&lt;&gt;"",""&amp;DATA_EO!L266,"")</f>
        <v/>
      </c>
      <c r="D269" s="273">
        <f>IF(A269&lt;&gt;"",""&amp;DATA_EO!B266,"")</f>
        <v/>
      </c>
      <c r="E269" s="273">
        <f>IF(A269&lt;&gt;"",""&amp;DATA_EO!G266,"")</f>
        <v/>
      </c>
      <c r="F269" s="273">
        <f>IF(A269&lt;&gt;"",""&amp;DATA_EO!K266,"")</f>
        <v/>
      </c>
      <c r="G269" s="273">
        <f>IF(A269&lt;&gt;"",""&amp;DATA_EO!J266,"")</f>
        <v/>
      </c>
      <c r="H269" s="273">
        <f>IF(A269&lt;&gt;"",""&amp;DATA_EO!M266,"")</f>
        <v/>
      </c>
    </row>
    <row r="270">
      <c r="A270" s="273">
        <f>IF(DATA_EO!A267&lt;&gt;"",""&amp;DATA_EO!A267,"")</f>
        <v/>
      </c>
      <c r="B270" s="273">
        <f>IF(A270&lt;&gt;"","EO","")</f>
        <v/>
      </c>
      <c r="C270" s="273">
        <f>IF(A270&lt;&gt;"",""&amp;DATA_EO!L267,"")</f>
        <v/>
      </c>
      <c r="D270" s="273">
        <f>IF(A270&lt;&gt;"",""&amp;DATA_EO!B267,"")</f>
        <v/>
      </c>
      <c r="E270" s="273">
        <f>IF(A270&lt;&gt;"",""&amp;DATA_EO!G267,"")</f>
        <v/>
      </c>
      <c r="F270" s="273">
        <f>IF(A270&lt;&gt;"",""&amp;DATA_EO!K267,"")</f>
        <v/>
      </c>
      <c r="G270" s="273">
        <f>IF(A270&lt;&gt;"",""&amp;DATA_EO!J267,"")</f>
        <v/>
      </c>
      <c r="H270" s="273">
        <f>IF(A270&lt;&gt;"",""&amp;DATA_EO!M267,"")</f>
        <v/>
      </c>
    </row>
    <row r="271">
      <c r="A271" s="273">
        <f>IF(DATA_EO!A268&lt;&gt;"",""&amp;DATA_EO!A268,"")</f>
        <v/>
      </c>
      <c r="B271" s="273">
        <f>IF(A271&lt;&gt;"","EO","")</f>
        <v/>
      </c>
      <c r="C271" s="273">
        <f>IF(A271&lt;&gt;"",""&amp;DATA_EO!L268,"")</f>
        <v/>
      </c>
      <c r="D271" s="273">
        <f>IF(A271&lt;&gt;"",""&amp;DATA_EO!B268,"")</f>
        <v/>
      </c>
      <c r="E271" s="273">
        <f>IF(A271&lt;&gt;"",""&amp;DATA_EO!G268,"")</f>
        <v/>
      </c>
      <c r="F271" s="273">
        <f>IF(A271&lt;&gt;"",""&amp;DATA_EO!K268,"")</f>
        <v/>
      </c>
      <c r="G271" s="273">
        <f>IF(A271&lt;&gt;"",""&amp;DATA_EO!J268,"")</f>
        <v/>
      </c>
      <c r="H271" s="273">
        <f>IF(A271&lt;&gt;"",""&amp;DATA_EO!M268,"")</f>
        <v/>
      </c>
    </row>
    <row r="272">
      <c r="A272" s="273">
        <f>IF(DATA_EO!A269&lt;&gt;"",""&amp;DATA_EO!A269,"")</f>
        <v/>
      </c>
      <c r="B272" s="273">
        <f>IF(A272&lt;&gt;"","EO","")</f>
        <v/>
      </c>
      <c r="C272" s="273">
        <f>IF(A272&lt;&gt;"",""&amp;DATA_EO!L269,"")</f>
        <v/>
      </c>
      <c r="D272" s="273">
        <f>IF(A272&lt;&gt;"",""&amp;DATA_EO!B269,"")</f>
        <v/>
      </c>
      <c r="E272" s="273">
        <f>IF(A272&lt;&gt;"",""&amp;DATA_EO!G269,"")</f>
        <v/>
      </c>
      <c r="F272" s="273">
        <f>IF(A272&lt;&gt;"",""&amp;DATA_EO!K269,"")</f>
        <v/>
      </c>
      <c r="G272" s="273">
        <f>IF(A272&lt;&gt;"",""&amp;DATA_EO!J269,"")</f>
        <v/>
      </c>
      <c r="H272" s="273">
        <f>IF(A272&lt;&gt;"",""&amp;DATA_EO!M269,"")</f>
        <v/>
      </c>
    </row>
    <row r="273">
      <c r="A273" s="273">
        <f>IF(DATA_EO!A270&lt;&gt;"",""&amp;DATA_EO!A270,"")</f>
        <v/>
      </c>
      <c r="B273" s="273">
        <f>IF(A273&lt;&gt;"","EO","")</f>
        <v/>
      </c>
      <c r="C273" s="273">
        <f>IF(A273&lt;&gt;"",""&amp;DATA_EO!L270,"")</f>
        <v/>
      </c>
      <c r="D273" s="273">
        <f>IF(A273&lt;&gt;"",""&amp;DATA_EO!B270,"")</f>
        <v/>
      </c>
      <c r="E273" s="273">
        <f>IF(A273&lt;&gt;"",""&amp;DATA_EO!G270,"")</f>
        <v/>
      </c>
      <c r="F273" s="273">
        <f>IF(A273&lt;&gt;"",""&amp;DATA_EO!K270,"")</f>
        <v/>
      </c>
      <c r="G273" s="273">
        <f>IF(A273&lt;&gt;"",""&amp;DATA_EO!J270,"")</f>
        <v/>
      </c>
      <c r="H273" s="273">
        <f>IF(A273&lt;&gt;"",""&amp;DATA_EO!M270,"")</f>
        <v/>
      </c>
    </row>
    <row r="274">
      <c r="A274" s="273">
        <f>IF(DATA_EO!A271&lt;&gt;"",""&amp;DATA_EO!A271,"")</f>
        <v/>
      </c>
      <c r="B274" s="273">
        <f>IF(A274&lt;&gt;"","EO","")</f>
        <v/>
      </c>
      <c r="C274" s="273">
        <f>IF(A274&lt;&gt;"",""&amp;DATA_EO!L271,"")</f>
        <v/>
      </c>
      <c r="D274" s="273">
        <f>IF(A274&lt;&gt;"",""&amp;DATA_EO!B271,"")</f>
        <v/>
      </c>
      <c r="E274" s="273">
        <f>IF(A274&lt;&gt;"",""&amp;DATA_EO!G271,"")</f>
        <v/>
      </c>
      <c r="F274" s="273">
        <f>IF(A274&lt;&gt;"",""&amp;DATA_EO!K271,"")</f>
        <v/>
      </c>
      <c r="G274" s="273">
        <f>IF(A274&lt;&gt;"",""&amp;DATA_EO!J271,"")</f>
        <v/>
      </c>
      <c r="H274" s="273">
        <f>IF(A274&lt;&gt;"",""&amp;DATA_EO!M271,"")</f>
        <v/>
      </c>
    </row>
    <row r="275">
      <c r="A275" s="273">
        <f>IF(DATA_EO!A272&lt;&gt;"",""&amp;DATA_EO!A272,"")</f>
        <v/>
      </c>
      <c r="B275" s="273">
        <f>IF(A275&lt;&gt;"","EO","")</f>
        <v/>
      </c>
      <c r="C275" s="273">
        <f>IF(A275&lt;&gt;"",""&amp;DATA_EO!L272,"")</f>
        <v/>
      </c>
      <c r="D275" s="273">
        <f>IF(A275&lt;&gt;"",""&amp;DATA_EO!B272,"")</f>
        <v/>
      </c>
      <c r="E275" s="273">
        <f>IF(A275&lt;&gt;"",""&amp;DATA_EO!G272,"")</f>
        <v/>
      </c>
      <c r="F275" s="273">
        <f>IF(A275&lt;&gt;"",""&amp;DATA_EO!K272,"")</f>
        <v/>
      </c>
      <c r="G275" s="273">
        <f>IF(A275&lt;&gt;"",""&amp;DATA_EO!J272,"")</f>
        <v/>
      </c>
      <c r="H275" s="273">
        <f>IF(A275&lt;&gt;"",""&amp;DATA_EO!M272,"")</f>
        <v/>
      </c>
    </row>
    <row r="276">
      <c r="A276" s="273">
        <f>IF(DATA_EO!A273&lt;&gt;"",""&amp;DATA_EO!A273,"")</f>
        <v/>
      </c>
      <c r="B276" s="273">
        <f>IF(A276&lt;&gt;"","EO","")</f>
        <v/>
      </c>
      <c r="C276" s="273">
        <f>IF(A276&lt;&gt;"",""&amp;DATA_EO!L273,"")</f>
        <v/>
      </c>
      <c r="D276" s="273">
        <f>IF(A276&lt;&gt;"",""&amp;DATA_EO!B273,"")</f>
        <v/>
      </c>
      <c r="E276" s="273">
        <f>IF(A276&lt;&gt;"",""&amp;DATA_EO!G273,"")</f>
        <v/>
      </c>
      <c r="F276" s="273">
        <f>IF(A276&lt;&gt;"",""&amp;DATA_EO!K273,"")</f>
        <v/>
      </c>
      <c r="G276" s="273">
        <f>IF(A276&lt;&gt;"",""&amp;DATA_EO!J273,"")</f>
        <v/>
      </c>
      <c r="H276" s="273">
        <f>IF(A276&lt;&gt;"",""&amp;DATA_EO!M273,"")</f>
        <v/>
      </c>
    </row>
    <row r="277">
      <c r="A277" s="273">
        <f>IF(DATA_EO!A274&lt;&gt;"",""&amp;DATA_EO!A274,"")</f>
        <v/>
      </c>
      <c r="B277" s="273">
        <f>IF(A277&lt;&gt;"","EO","")</f>
        <v/>
      </c>
      <c r="C277" s="273">
        <f>IF(A277&lt;&gt;"",""&amp;DATA_EO!L274,"")</f>
        <v/>
      </c>
      <c r="D277" s="273">
        <f>IF(A277&lt;&gt;"",""&amp;DATA_EO!B274,"")</f>
        <v/>
      </c>
      <c r="E277" s="273">
        <f>IF(A277&lt;&gt;"",""&amp;DATA_EO!G274,"")</f>
        <v/>
      </c>
      <c r="F277" s="273">
        <f>IF(A277&lt;&gt;"",""&amp;DATA_EO!K274,"")</f>
        <v/>
      </c>
      <c r="G277" s="273">
        <f>IF(A277&lt;&gt;"",""&amp;DATA_EO!J274,"")</f>
        <v/>
      </c>
      <c r="H277" s="273">
        <f>IF(A277&lt;&gt;"",""&amp;DATA_EO!M274,"")</f>
        <v/>
      </c>
    </row>
    <row r="278">
      <c r="A278" s="273">
        <f>IF(DATA_EO!A275&lt;&gt;"",""&amp;DATA_EO!A275,"")</f>
        <v/>
      </c>
      <c r="B278" s="273">
        <f>IF(A278&lt;&gt;"","EO","")</f>
        <v/>
      </c>
      <c r="C278" s="273">
        <f>IF(A278&lt;&gt;"",""&amp;DATA_EO!L275,"")</f>
        <v/>
      </c>
      <c r="D278" s="273">
        <f>IF(A278&lt;&gt;"",""&amp;DATA_EO!B275,"")</f>
        <v/>
      </c>
      <c r="E278" s="273">
        <f>IF(A278&lt;&gt;"",""&amp;DATA_EO!G275,"")</f>
        <v/>
      </c>
      <c r="F278" s="273">
        <f>IF(A278&lt;&gt;"",""&amp;DATA_EO!K275,"")</f>
        <v/>
      </c>
      <c r="G278" s="273">
        <f>IF(A278&lt;&gt;"",""&amp;DATA_EO!J275,"")</f>
        <v/>
      </c>
      <c r="H278" s="273">
        <f>IF(A278&lt;&gt;"",""&amp;DATA_EO!M275,"")</f>
        <v/>
      </c>
    </row>
    <row r="279">
      <c r="A279" s="273">
        <f>IF(DATA_EO!A276&lt;&gt;"",""&amp;DATA_EO!A276,"")</f>
        <v/>
      </c>
      <c r="B279" s="273">
        <f>IF(A279&lt;&gt;"","EO","")</f>
        <v/>
      </c>
      <c r="C279" s="273">
        <f>IF(A279&lt;&gt;"",""&amp;DATA_EO!L276,"")</f>
        <v/>
      </c>
      <c r="D279" s="273">
        <f>IF(A279&lt;&gt;"",""&amp;DATA_EO!B276,"")</f>
        <v/>
      </c>
      <c r="E279" s="273">
        <f>IF(A279&lt;&gt;"",""&amp;DATA_EO!G276,"")</f>
        <v/>
      </c>
      <c r="F279" s="273">
        <f>IF(A279&lt;&gt;"",""&amp;DATA_EO!K276,"")</f>
        <v/>
      </c>
      <c r="G279" s="273">
        <f>IF(A279&lt;&gt;"",""&amp;DATA_EO!J276,"")</f>
        <v/>
      </c>
      <c r="H279" s="273">
        <f>IF(A279&lt;&gt;"",""&amp;DATA_EO!M276,"")</f>
        <v/>
      </c>
    </row>
    <row r="280">
      <c r="A280" s="273">
        <f>IF(DATA_EO!A277&lt;&gt;"",""&amp;DATA_EO!A277,"")</f>
        <v/>
      </c>
      <c r="B280" s="273">
        <f>IF(A280&lt;&gt;"","EO","")</f>
        <v/>
      </c>
      <c r="C280" s="273">
        <f>IF(A280&lt;&gt;"",""&amp;DATA_EO!L277,"")</f>
        <v/>
      </c>
      <c r="D280" s="273">
        <f>IF(A280&lt;&gt;"",""&amp;DATA_EO!B277,"")</f>
        <v/>
      </c>
      <c r="E280" s="273">
        <f>IF(A280&lt;&gt;"",""&amp;DATA_EO!G277,"")</f>
        <v/>
      </c>
      <c r="F280" s="273">
        <f>IF(A280&lt;&gt;"",""&amp;DATA_EO!K277,"")</f>
        <v/>
      </c>
      <c r="G280" s="273">
        <f>IF(A280&lt;&gt;"",""&amp;DATA_EO!J277,"")</f>
        <v/>
      </c>
      <c r="H280" s="273">
        <f>IF(A280&lt;&gt;"",""&amp;DATA_EO!M277,"")</f>
        <v/>
      </c>
    </row>
    <row r="281">
      <c r="A281" s="273">
        <f>IF(DATA_EO!A278&lt;&gt;"",""&amp;DATA_EO!A278,"")</f>
        <v/>
      </c>
      <c r="B281" s="273">
        <f>IF(A281&lt;&gt;"","EO","")</f>
        <v/>
      </c>
      <c r="C281" s="273">
        <f>IF(A281&lt;&gt;"",""&amp;DATA_EO!L278,"")</f>
        <v/>
      </c>
      <c r="D281" s="273">
        <f>IF(A281&lt;&gt;"",""&amp;DATA_EO!B278,"")</f>
        <v/>
      </c>
      <c r="E281" s="273">
        <f>IF(A281&lt;&gt;"",""&amp;DATA_EO!G278,"")</f>
        <v/>
      </c>
      <c r="F281" s="273">
        <f>IF(A281&lt;&gt;"",""&amp;DATA_EO!K278,"")</f>
        <v/>
      </c>
      <c r="G281" s="273">
        <f>IF(A281&lt;&gt;"",""&amp;DATA_EO!J278,"")</f>
        <v/>
      </c>
      <c r="H281" s="273">
        <f>IF(A281&lt;&gt;"",""&amp;DATA_EO!M278,"")</f>
        <v/>
      </c>
    </row>
    <row r="282">
      <c r="A282" s="273">
        <f>IF(DATA_EO!A279&lt;&gt;"",""&amp;DATA_EO!A279,"")</f>
        <v/>
      </c>
      <c r="B282" s="273">
        <f>IF(A282&lt;&gt;"","EO","")</f>
        <v/>
      </c>
      <c r="C282" s="273">
        <f>IF(A282&lt;&gt;"",""&amp;DATA_EO!L279,"")</f>
        <v/>
      </c>
      <c r="D282" s="273">
        <f>IF(A282&lt;&gt;"",""&amp;DATA_EO!B279,"")</f>
        <v/>
      </c>
      <c r="E282" s="273">
        <f>IF(A282&lt;&gt;"",""&amp;DATA_EO!G279,"")</f>
        <v/>
      </c>
      <c r="F282" s="273">
        <f>IF(A282&lt;&gt;"",""&amp;DATA_EO!K279,"")</f>
        <v/>
      </c>
      <c r="G282" s="273">
        <f>IF(A282&lt;&gt;"",""&amp;DATA_EO!J279,"")</f>
        <v/>
      </c>
      <c r="H282" s="273">
        <f>IF(A282&lt;&gt;"",""&amp;DATA_EO!M279,"")</f>
        <v/>
      </c>
    </row>
    <row r="283">
      <c r="A283" s="273">
        <f>IF(DATA_EO!A280&lt;&gt;"",""&amp;DATA_EO!A280,"")</f>
        <v/>
      </c>
      <c r="B283" s="273">
        <f>IF(A283&lt;&gt;"","EO","")</f>
        <v/>
      </c>
      <c r="C283" s="273">
        <f>IF(A283&lt;&gt;"",""&amp;DATA_EO!L280,"")</f>
        <v/>
      </c>
      <c r="D283" s="273">
        <f>IF(A283&lt;&gt;"",""&amp;DATA_EO!B280,"")</f>
        <v/>
      </c>
      <c r="E283" s="273">
        <f>IF(A283&lt;&gt;"",""&amp;DATA_EO!G280,"")</f>
        <v/>
      </c>
      <c r="F283" s="273">
        <f>IF(A283&lt;&gt;"",""&amp;DATA_EO!K280,"")</f>
        <v/>
      </c>
      <c r="G283" s="273">
        <f>IF(A283&lt;&gt;"",""&amp;DATA_EO!J280,"")</f>
        <v/>
      </c>
      <c r="H283" s="273">
        <f>IF(A283&lt;&gt;"",""&amp;DATA_EO!M280,"")</f>
        <v/>
      </c>
    </row>
    <row r="284">
      <c r="A284" s="273">
        <f>IF(DATA_EO!A281&lt;&gt;"",""&amp;DATA_EO!A281,"")</f>
        <v/>
      </c>
      <c r="B284" s="273">
        <f>IF(A284&lt;&gt;"","EO","")</f>
        <v/>
      </c>
      <c r="C284" s="273">
        <f>IF(A284&lt;&gt;"",""&amp;DATA_EO!L281,"")</f>
        <v/>
      </c>
      <c r="D284" s="273">
        <f>IF(A284&lt;&gt;"",""&amp;DATA_EO!B281,"")</f>
        <v/>
      </c>
      <c r="E284" s="273">
        <f>IF(A284&lt;&gt;"",""&amp;DATA_EO!G281,"")</f>
        <v/>
      </c>
      <c r="F284" s="273">
        <f>IF(A284&lt;&gt;"",""&amp;DATA_EO!K281,"")</f>
        <v/>
      </c>
      <c r="G284" s="273">
        <f>IF(A284&lt;&gt;"",""&amp;DATA_EO!J281,"")</f>
        <v/>
      </c>
      <c r="H284" s="273">
        <f>IF(A284&lt;&gt;"",""&amp;DATA_EO!M281,"")</f>
        <v/>
      </c>
    </row>
    <row r="285">
      <c r="A285" s="273">
        <f>IF(DATA_EO!A282&lt;&gt;"",""&amp;DATA_EO!A282,"")</f>
        <v/>
      </c>
      <c r="B285" s="273">
        <f>IF(A285&lt;&gt;"","EO","")</f>
        <v/>
      </c>
      <c r="C285" s="273">
        <f>IF(A285&lt;&gt;"",""&amp;DATA_EO!L282,"")</f>
        <v/>
      </c>
      <c r="D285" s="273">
        <f>IF(A285&lt;&gt;"",""&amp;DATA_EO!B282,"")</f>
        <v/>
      </c>
      <c r="E285" s="273">
        <f>IF(A285&lt;&gt;"",""&amp;DATA_EO!G282,"")</f>
        <v/>
      </c>
      <c r="F285" s="273">
        <f>IF(A285&lt;&gt;"",""&amp;DATA_EO!K282,"")</f>
        <v/>
      </c>
      <c r="G285" s="273">
        <f>IF(A285&lt;&gt;"",""&amp;DATA_EO!J282,"")</f>
        <v/>
      </c>
      <c r="H285" s="273">
        <f>IF(A285&lt;&gt;"",""&amp;DATA_EO!M282,"")</f>
        <v/>
      </c>
    </row>
    <row r="286">
      <c r="A286" s="273">
        <f>IF(DATA_EO!A283&lt;&gt;"",""&amp;DATA_EO!A283,"")</f>
        <v/>
      </c>
      <c r="B286" s="273">
        <f>IF(A286&lt;&gt;"","EO","")</f>
        <v/>
      </c>
      <c r="C286" s="273">
        <f>IF(A286&lt;&gt;"",""&amp;DATA_EO!L283,"")</f>
        <v/>
      </c>
      <c r="D286" s="273">
        <f>IF(A286&lt;&gt;"",""&amp;DATA_EO!B283,"")</f>
        <v/>
      </c>
      <c r="E286" s="273">
        <f>IF(A286&lt;&gt;"",""&amp;DATA_EO!G283,"")</f>
        <v/>
      </c>
      <c r="F286" s="273">
        <f>IF(A286&lt;&gt;"",""&amp;DATA_EO!K283,"")</f>
        <v/>
      </c>
      <c r="G286" s="273">
        <f>IF(A286&lt;&gt;"",""&amp;DATA_EO!J283,"")</f>
        <v/>
      </c>
      <c r="H286" s="273">
        <f>IF(A286&lt;&gt;"",""&amp;DATA_EO!M283,"")</f>
        <v/>
      </c>
    </row>
    <row r="287">
      <c r="A287" s="273">
        <f>IF(DATA_EO!A284&lt;&gt;"",""&amp;DATA_EO!A284,"")</f>
        <v/>
      </c>
      <c r="B287" s="273">
        <f>IF(A287&lt;&gt;"","EO","")</f>
        <v/>
      </c>
      <c r="C287" s="273">
        <f>IF(A287&lt;&gt;"",""&amp;DATA_EO!L284,"")</f>
        <v/>
      </c>
      <c r="D287" s="273">
        <f>IF(A287&lt;&gt;"",""&amp;DATA_EO!B284,"")</f>
        <v/>
      </c>
      <c r="E287" s="273">
        <f>IF(A287&lt;&gt;"",""&amp;DATA_EO!G284,"")</f>
        <v/>
      </c>
      <c r="F287" s="273">
        <f>IF(A287&lt;&gt;"",""&amp;DATA_EO!K284,"")</f>
        <v/>
      </c>
      <c r="G287" s="273">
        <f>IF(A287&lt;&gt;"",""&amp;DATA_EO!J284,"")</f>
        <v/>
      </c>
      <c r="H287" s="273">
        <f>IF(A287&lt;&gt;"",""&amp;DATA_EO!M284,"")</f>
        <v/>
      </c>
    </row>
    <row r="288">
      <c r="A288" s="273">
        <f>IF(DATA_EO!A285&lt;&gt;"",""&amp;DATA_EO!A285,"")</f>
        <v/>
      </c>
      <c r="B288" s="273">
        <f>IF(A288&lt;&gt;"","EO","")</f>
        <v/>
      </c>
      <c r="C288" s="273">
        <f>IF(A288&lt;&gt;"",""&amp;DATA_EO!L285,"")</f>
        <v/>
      </c>
      <c r="D288" s="273">
        <f>IF(A288&lt;&gt;"",""&amp;DATA_EO!B285,"")</f>
        <v/>
      </c>
      <c r="E288" s="273">
        <f>IF(A288&lt;&gt;"",""&amp;DATA_EO!G285,"")</f>
        <v/>
      </c>
      <c r="F288" s="273">
        <f>IF(A288&lt;&gt;"",""&amp;DATA_EO!K285,"")</f>
        <v/>
      </c>
      <c r="G288" s="273">
        <f>IF(A288&lt;&gt;"",""&amp;DATA_EO!J285,"")</f>
        <v/>
      </c>
      <c r="H288" s="273">
        <f>IF(A288&lt;&gt;"",""&amp;DATA_EO!M285,"")</f>
        <v/>
      </c>
    </row>
    <row r="289">
      <c r="A289" s="273">
        <f>IF(DATA_EO!A286&lt;&gt;"",""&amp;DATA_EO!A286,"")</f>
        <v/>
      </c>
      <c r="B289" s="273">
        <f>IF(A289&lt;&gt;"","EO","")</f>
        <v/>
      </c>
      <c r="C289" s="273">
        <f>IF(A289&lt;&gt;"",""&amp;DATA_EO!L286,"")</f>
        <v/>
      </c>
      <c r="D289" s="273">
        <f>IF(A289&lt;&gt;"",""&amp;DATA_EO!B286,"")</f>
        <v/>
      </c>
      <c r="E289" s="273">
        <f>IF(A289&lt;&gt;"",""&amp;DATA_EO!G286,"")</f>
        <v/>
      </c>
      <c r="F289" s="273">
        <f>IF(A289&lt;&gt;"",""&amp;DATA_EO!K286,"")</f>
        <v/>
      </c>
      <c r="G289" s="273">
        <f>IF(A289&lt;&gt;"",""&amp;DATA_EO!J286,"")</f>
        <v/>
      </c>
      <c r="H289" s="273">
        <f>IF(A289&lt;&gt;"",""&amp;DATA_EO!M286,"")</f>
        <v/>
      </c>
    </row>
    <row r="290">
      <c r="A290" s="273">
        <f>IF(DATA_EO!A287&lt;&gt;"",""&amp;DATA_EO!A287,"")</f>
        <v/>
      </c>
      <c r="B290" s="273">
        <f>IF(A290&lt;&gt;"","EO","")</f>
        <v/>
      </c>
      <c r="C290" s="273">
        <f>IF(A290&lt;&gt;"",""&amp;DATA_EO!L287,"")</f>
        <v/>
      </c>
      <c r="D290" s="273">
        <f>IF(A290&lt;&gt;"",""&amp;DATA_EO!B287,"")</f>
        <v/>
      </c>
      <c r="E290" s="273">
        <f>IF(A290&lt;&gt;"",""&amp;DATA_EO!G287,"")</f>
        <v/>
      </c>
      <c r="F290" s="273">
        <f>IF(A290&lt;&gt;"",""&amp;DATA_EO!K287,"")</f>
        <v/>
      </c>
      <c r="G290" s="273">
        <f>IF(A290&lt;&gt;"",""&amp;DATA_EO!J287,"")</f>
        <v/>
      </c>
      <c r="H290" s="273">
        <f>IF(A290&lt;&gt;"",""&amp;DATA_EO!M287,"")</f>
        <v/>
      </c>
    </row>
    <row r="291">
      <c r="A291" s="273">
        <f>IF(DATA_EO!A288&lt;&gt;"",""&amp;DATA_EO!A288,"")</f>
        <v/>
      </c>
      <c r="B291" s="273">
        <f>IF(A291&lt;&gt;"","EO","")</f>
        <v/>
      </c>
      <c r="C291" s="273">
        <f>IF(A291&lt;&gt;"",""&amp;DATA_EO!L288,"")</f>
        <v/>
      </c>
      <c r="D291" s="273">
        <f>IF(A291&lt;&gt;"",""&amp;DATA_EO!B288,"")</f>
        <v/>
      </c>
      <c r="E291" s="273">
        <f>IF(A291&lt;&gt;"",""&amp;DATA_EO!G288,"")</f>
        <v/>
      </c>
      <c r="F291" s="273">
        <f>IF(A291&lt;&gt;"",""&amp;DATA_EO!K288,"")</f>
        <v/>
      </c>
      <c r="G291" s="273">
        <f>IF(A291&lt;&gt;"",""&amp;DATA_EO!J288,"")</f>
        <v/>
      </c>
      <c r="H291" s="273">
        <f>IF(A291&lt;&gt;"",""&amp;DATA_EO!M288,"")</f>
        <v/>
      </c>
    </row>
    <row r="292">
      <c r="A292" s="273">
        <f>IF(DATA_EO!A289&lt;&gt;"",""&amp;DATA_EO!A289,"")</f>
        <v/>
      </c>
      <c r="B292" s="273">
        <f>IF(A292&lt;&gt;"","EO","")</f>
        <v/>
      </c>
      <c r="C292" s="273">
        <f>IF(A292&lt;&gt;"",""&amp;DATA_EO!L289,"")</f>
        <v/>
      </c>
      <c r="D292" s="273">
        <f>IF(A292&lt;&gt;"",""&amp;DATA_EO!B289,"")</f>
        <v/>
      </c>
      <c r="E292" s="273">
        <f>IF(A292&lt;&gt;"",""&amp;DATA_EO!G289,"")</f>
        <v/>
      </c>
      <c r="F292" s="273">
        <f>IF(A292&lt;&gt;"",""&amp;DATA_EO!K289,"")</f>
        <v/>
      </c>
      <c r="G292" s="273">
        <f>IF(A292&lt;&gt;"",""&amp;DATA_EO!J289,"")</f>
        <v/>
      </c>
      <c r="H292" s="273">
        <f>IF(A292&lt;&gt;"",""&amp;DATA_EO!M289,"")</f>
        <v/>
      </c>
    </row>
    <row r="293">
      <c r="A293" s="273">
        <f>IF(DATA_EO!A290&lt;&gt;"",""&amp;DATA_EO!A290,"")</f>
        <v/>
      </c>
      <c r="B293" s="273">
        <f>IF(A293&lt;&gt;"","EO","")</f>
        <v/>
      </c>
      <c r="C293" s="273">
        <f>IF(A293&lt;&gt;"",""&amp;DATA_EO!L290,"")</f>
        <v/>
      </c>
      <c r="D293" s="273">
        <f>IF(A293&lt;&gt;"",""&amp;DATA_EO!B290,"")</f>
        <v/>
      </c>
      <c r="E293" s="273">
        <f>IF(A293&lt;&gt;"",""&amp;DATA_EO!G290,"")</f>
        <v/>
      </c>
      <c r="F293" s="273">
        <f>IF(A293&lt;&gt;"",""&amp;DATA_EO!K290,"")</f>
        <v/>
      </c>
      <c r="G293" s="273">
        <f>IF(A293&lt;&gt;"",""&amp;DATA_EO!J290,"")</f>
        <v/>
      </c>
      <c r="H293" s="273">
        <f>IF(A293&lt;&gt;"",""&amp;DATA_EO!M290,"")</f>
        <v/>
      </c>
    </row>
    <row r="294">
      <c r="A294" s="273">
        <f>IF(DATA_EO!A291&lt;&gt;"",""&amp;DATA_EO!A291,"")</f>
        <v/>
      </c>
      <c r="B294" s="273">
        <f>IF(A294&lt;&gt;"","EO","")</f>
        <v/>
      </c>
      <c r="C294" s="273">
        <f>IF(A294&lt;&gt;"",""&amp;DATA_EO!L291,"")</f>
        <v/>
      </c>
      <c r="D294" s="273">
        <f>IF(A294&lt;&gt;"",""&amp;DATA_EO!B291,"")</f>
        <v/>
      </c>
      <c r="E294" s="273">
        <f>IF(A294&lt;&gt;"",""&amp;DATA_EO!G291,"")</f>
        <v/>
      </c>
      <c r="F294" s="273">
        <f>IF(A294&lt;&gt;"",""&amp;DATA_EO!K291,"")</f>
        <v/>
      </c>
      <c r="G294" s="273">
        <f>IF(A294&lt;&gt;"",""&amp;DATA_EO!J291,"")</f>
        <v/>
      </c>
      <c r="H294" s="273">
        <f>IF(A294&lt;&gt;"",""&amp;DATA_EO!M291,"")</f>
        <v/>
      </c>
    </row>
    <row r="295">
      <c r="A295" s="273">
        <f>IF(DATA_EO!A292&lt;&gt;"",""&amp;DATA_EO!A292,"")</f>
        <v/>
      </c>
      <c r="B295" s="273">
        <f>IF(A295&lt;&gt;"","EO","")</f>
        <v/>
      </c>
      <c r="C295" s="273">
        <f>IF(A295&lt;&gt;"",""&amp;DATA_EO!L292,"")</f>
        <v/>
      </c>
      <c r="D295" s="273">
        <f>IF(A295&lt;&gt;"",""&amp;DATA_EO!B292,"")</f>
        <v/>
      </c>
      <c r="E295" s="273">
        <f>IF(A295&lt;&gt;"",""&amp;DATA_EO!G292,"")</f>
        <v/>
      </c>
      <c r="F295" s="273">
        <f>IF(A295&lt;&gt;"",""&amp;DATA_EO!K292,"")</f>
        <v/>
      </c>
      <c r="G295" s="273">
        <f>IF(A295&lt;&gt;"",""&amp;DATA_EO!J292,"")</f>
        <v/>
      </c>
      <c r="H295" s="273">
        <f>IF(A295&lt;&gt;"",""&amp;DATA_EO!M292,"")</f>
        <v/>
      </c>
    </row>
    <row r="296">
      <c r="A296" s="273">
        <f>IF(DATA_EO!A293&lt;&gt;"",""&amp;DATA_EO!A293,"")</f>
        <v/>
      </c>
      <c r="B296" s="273">
        <f>IF(A296&lt;&gt;"","EO","")</f>
        <v/>
      </c>
      <c r="C296" s="273">
        <f>IF(A296&lt;&gt;"",""&amp;DATA_EO!L293,"")</f>
        <v/>
      </c>
      <c r="D296" s="273">
        <f>IF(A296&lt;&gt;"",""&amp;DATA_EO!B293,"")</f>
        <v/>
      </c>
      <c r="E296" s="273">
        <f>IF(A296&lt;&gt;"",""&amp;DATA_EO!G293,"")</f>
        <v/>
      </c>
      <c r="F296" s="273">
        <f>IF(A296&lt;&gt;"",""&amp;DATA_EO!K293,"")</f>
        <v/>
      </c>
      <c r="G296" s="273">
        <f>IF(A296&lt;&gt;"",""&amp;DATA_EO!J293,"")</f>
        <v/>
      </c>
      <c r="H296" s="273">
        <f>IF(A296&lt;&gt;"",""&amp;DATA_EO!M293,"")</f>
        <v/>
      </c>
    </row>
    <row r="297">
      <c r="A297" s="273">
        <f>IF(DATA_EO!A294&lt;&gt;"",""&amp;DATA_EO!A294,"")</f>
        <v/>
      </c>
      <c r="B297" s="273">
        <f>IF(A297&lt;&gt;"","EO","")</f>
        <v/>
      </c>
      <c r="C297" s="273">
        <f>IF(A297&lt;&gt;"",""&amp;DATA_EO!L294,"")</f>
        <v/>
      </c>
      <c r="D297" s="273">
        <f>IF(A297&lt;&gt;"",""&amp;DATA_EO!B294,"")</f>
        <v/>
      </c>
      <c r="E297" s="273">
        <f>IF(A297&lt;&gt;"",""&amp;DATA_EO!G294,"")</f>
        <v/>
      </c>
      <c r="F297" s="273">
        <f>IF(A297&lt;&gt;"",""&amp;DATA_EO!K294,"")</f>
        <v/>
      </c>
      <c r="G297" s="273">
        <f>IF(A297&lt;&gt;"",""&amp;DATA_EO!J294,"")</f>
        <v/>
      </c>
      <c r="H297" s="273">
        <f>IF(A297&lt;&gt;"",""&amp;DATA_EO!M294,"")</f>
        <v/>
      </c>
    </row>
    <row r="298">
      <c r="A298" s="273">
        <f>IF(DATA_EO!A295&lt;&gt;"",""&amp;DATA_EO!A295,"")</f>
        <v/>
      </c>
      <c r="B298" s="273">
        <f>IF(A298&lt;&gt;"","EO","")</f>
        <v/>
      </c>
      <c r="C298" s="273">
        <f>IF(A298&lt;&gt;"",""&amp;DATA_EO!L295,"")</f>
        <v/>
      </c>
      <c r="D298" s="273">
        <f>IF(A298&lt;&gt;"",""&amp;DATA_EO!B295,"")</f>
        <v/>
      </c>
      <c r="E298" s="273">
        <f>IF(A298&lt;&gt;"",""&amp;DATA_EO!G295,"")</f>
        <v/>
      </c>
      <c r="F298" s="273">
        <f>IF(A298&lt;&gt;"",""&amp;DATA_EO!K295,"")</f>
        <v/>
      </c>
      <c r="G298" s="273">
        <f>IF(A298&lt;&gt;"",""&amp;DATA_EO!J295,"")</f>
        <v/>
      </c>
      <c r="H298" s="273">
        <f>IF(A298&lt;&gt;"",""&amp;DATA_EO!M295,"")</f>
        <v/>
      </c>
    </row>
    <row r="299">
      <c r="A299" s="273">
        <f>IF(DATA_EO!A296&lt;&gt;"",""&amp;DATA_EO!A296,"")</f>
        <v/>
      </c>
      <c r="B299" s="273">
        <f>IF(A299&lt;&gt;"","EO","")</f>
        <v/>
      </c>
      <c r="C299" s="273">
        <f>IF(A299&lt;&gt;"",""&amp;DATA_EO!L296,"")</f>
        <v/>
      </c>
      <c r="D299" s="273">
        <f>IF(A299&lt;&gt;"",""&amp;DATA_EO!B296,"")</f>
        <v/>
      </c>
      <c r="E299" s="273">
        <f>IF(A299&lt;&gt;"",""&amp;DATA_EO!G296,"")</f>
        <v/>
      </c>
      <c r="F299" s="273">
        <f>IF(A299&lt;&gt;"",""&amp;DATA_EO!K296,"")</f>
        <v/>
      </c>
      <c r="G299" s="273">
        <f>IF(A299&lt;&gt;"",""&amp;DATA_EO!J296,"")</f>
        <v/>
      </c>
      <c r="H299" s="273">
        <f>IF(A299&lt;&gt;"",""&amp;DATA_EO!M296,"")</f>
        <v/>
      </c>
    </row>
    <row r="300">
      <c r="A300" s="273">
        <f>IF(DATA_EO!A297&lt;&gt;"",""&amp;DATA_EO!A297,"")</f>
        <v/>
      </c>
      <c r="B300" s="273">
        <f>IF(A300&lt;&gt;"","EO","")</f>
        <v/>
      </c>
      <c r="C300" s="273">
        <f>IF(A300&lt;&gt;"",""&amp;DATA_EO!L297,"")</f>
        <v/>
      </c>
      <c r="D300" s="273">
        <f>IF(A300&lt;&gt;"",""&amp;DATA_EO!B297,"")</f>
        <v/>
      </c>
      <c r="E300" s="273">
        <f>IF(A300&lt;&gt;"",""&amp;DATA_EO!G297,"")</f>
        <v/>
      </c>
      <c r="F300" s="273">
        <f>IF(A300&lt;&gt;"",""&amp;DATA_EO!K297,"")</f>
        <v/>
      </c>
      <c r="G300" s="273">
        <f>IF(A300&lt;&gt;"",""&amp;DATA_EO!J297,"")</f>
        <v/>
      </c>
      <c r="H300" s="273">
        <f>IF(A300&lt;&gt;"",""&amp;DATA_EO!M297,"")</f>
        <v/>
      </c>
    </row>
    <row r="301">
      <c r="A301" s="273">
        <f>IF(DATA_EO!A298&lt;&gt;"",""&amp;DATA_EO!A298,"")</f>
        <v/>
      </c>
      <c r="B301" s="273">
        <f>IF(A301&lt;&gt;"","EO","")</f>
        <v/>
      </c>
      <c r="C301" s="273">
        <f>IF(A301&lt;&gt;"",""&amp;DATA_EO!L298,"")</f>
        <v/>
      </c>
      <c r="D301" s="273">
        <f>IF(A301&lt;&gt;"",""&amp;DATA_EO!B298,"")</f>
        <v/>
      </c>
      <c r="E301" s="273">
        <f>IF(A301&lt;&gt;"",""&amp;DATA_EO!G298,"")</f>
        <v/>
      </c>
      <c r="F301" s="273">
        <f>IF(A301&lt;&gt;"",""&amp;DATA_EO!K298,"")</f>
        <v/>
      </c>
      <c r="G301" s="273">
        <f>IF(A301&lt;&gt;"",""&amp;DATA_EO!J298,"")</f>
        <v/>
      </c>
      <c r="H301" s="273">
        <f>IF(A301&lt;&gt;"",""&amp;DATA_EO!M298,"")</f>
        <v/>
      </c>
    </row>
    <row r="302">
      <c r="A302" s="273">
        <f>IF(DATA_EO!A299&lt;&gt;"",""&amp;DATA_EO!A299,"")</f>
        <v/>
      </c>
      <c r="B302" s="273">
        <f>IF(A302&lt;&gt;"","EO","")</f>
        <v/>
      </c>
      <c r="C302" s="273">
        <f>IF(A302&lt;&gt;"",""&amp;DATA_EO!L299,"")</f>
        <v/>
      </c>
      <c r="D302" s="273">
        <f>IF(A302&lt;&gt;"",""&amp;DATA_EO!B299,"")</f>
        <v/>
      </c>
      <c r="E302" s="273">
        <f>IF(A302&lt;&gt;"",""&amp;DATA_EO!G299,"")</f>
        <v/>
      </c>
      <c r="F302" s="273">
        <f>IF(A302&lt;&gt;"",""&amp;DATA_EO!K299,"")</f>
        <v/>
      </c>
      <c r="G302" s="273">
        <f>IF(A302&lt;&gt;"",""&amp;DATA_EO!J299,"")</f>
        <v/>
      </c>
      <c r="H302" s="273">
        <f>IF(A302&lt;&gt;"",""&amp;DATA_EO!M299,"")</f>
        <v/>
      </c>
    </row>
    <row r="303">
      <c r="A303" s="273">
        <f>IF(DATA_EO!A300&lt;&gt;"",""&amp;DATA_EO!A300,"")</f>
        <v/>
      </c>
      <c r="B303" s="273">
        <f>IF(A303&lt;&gt;"","EO","")</f>
        <v/>
      </c>
      <c r="C303" s="273">
        <f>IF(A303&lt;&gt;"",""&amp;DATA_EO!L300,"")</f>
        <v/>
      </c>
      <c r="D303" s="273">
        <f>IF(A303&lt;&gt;"",""&amp;DATA_EO!B300,"")</f>
        <v/>
      </c>
      <c r="E303" s="273">
        <f>IF(A303&lt;&gt;"",""&amp;DATA_EO!G300,"")</f>
        <v/>
      </c>
      <c r="F303" s="273">
        <f>IF(A303&lt;&gt;"",""&amp;DATA_EO!K300,"")</f>
        <v/>
      </c>
      <c r="G303" s="273">
        <f>IF(A303&lt;&gt;"",""&amp;DATA_EO!J300,"")</f>
        <v/>
      </c>
      <c r="H303" s="273">
        <f>IF(A303&lt;&gt;"",""&amp;DATA_EO!M300,"")</f>
        <v/>
      </c>
    </row>
    <row r="304">
      <c r="A304" s="273">
        <f>IF(DATA_EO!A301&lt;&gt;"",""&amp;DATA_EO!A301,"")</f>
        <v/>
      </c>
      <c r="B304" s="273">
        <f>IF(A304&lt;&gt;"","EO","")</f>
        <v/>
      </c>
      <c r="C304" s="273">
        <f>IF(A304&lt;&gt;"",""&amp;DATA_EO!L301,"")</f>
        <v/>
      </c>
      <c r="D304" s="273">
        <f>IF(A304&lt;&gt;"",""&amp;DATA_EO!B301,"")</f>
        <v/>
      </c>
      <c r="E304" s="273">
        <f>IF(A304&lt;&gt;"",""&amp;DATA_EO!G301,"")</f>
        <v/>
      </c>
      <c r="F304" s="273">
        <f>IF(A304&lt;&gt;"",""&amp;DATA_EO!K301,"")</f>
        <v/>
      </c>
      <c r="G304" s="273">
        <f>IF(A304&lt;&gt;"",""&amp;DATA_EO!J301,"")</f>
        <v/>
      </c>
      <c r="H304" s="273">
        <f>IF(A304&lt;&gt;"",""&amp;DATA_EO!M301,"")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 outlineLevelRow="2"/>
  <cols>
    <col width="16" customWidth="1" style="132" min="1" max="1"/>
    <col width="26" customWidth="1" style="132" min="2" max="2"/>
    <col width="12" customWidth="1" style="132" min="3" max="3"/>
    <col width="26" customWidth="1" style="132" min="4" max="4"/>
    <col width="12" customWidth="1" style="132" min="5" max="5"/>
    <col width="22" customWidth="1" style="132" min="6" max="6"/>
    <col width="14" customWidth="1" style="132" min="7" max="8"/>
    <col width="25" customWidth="1" style="132" min="9" max="9"/>
    <col width="24" customWidth="1" style="132" min="10" max="11"/>
    <col width="18" customWidth="1" style="132" min="12" max="12"/>
    <col width="8.710000000000001" customWidth="1" style="132" min="13" max="26"/>
  </cols>
  <sheetData>
    <row r="1">
      <c r="A1" s="175" t="inlineStr">
        <is>
          <t>RESEARCH INTELLIGENCE ENGINE (RIE) — RELATIONSHIP REGISTRY</t>
        </is>
      </c>
      <c r="J1" s="260">
        <f>HYPERLINK("#'01_Executive_Dashboard'!A1", "⮌ BACK TO DASHBOARD")</f>
        <v/>
      </c>
    </row>
    <row r="2">
      <c r="A2" s="261">
        <f>"Multi-Layer Semantic Relational Matrix (" &amp; COUNTA(DATA_RELATIONSHIPS!A2:A1000) &amp; " Relationships) | Dynamic Projection"</f>
        <v/>
      </c>
    </row>
    <row r="3"/>
    <row r="4">
      <c r="A4" s="262" t="inlineStr">
        <is>
          <t>Relationship_ID</t>
        </is>
      </c>
      <c r="B4" s="262" t="inlineStr">
        <is>
          <t>Source_ID</t>
        </is>
      </c>
      <c r="C4" s="262" t="inlineStr">
        <is>
          <t>Source_Type</t>
        </is>
      </c>
      <c r="D4" s="262" t="inlineStr">
        <is>
          <t>Target_ID</t>
        </is>
      </c>
      <c r="E4" s="262" t="inlineStr">
        <is>
          <t>Target_Type</t>
        </is>
      </c>
      <c r="F4" s="262" t="inlineStr">
        <is>
          <t>Relationship_Vector</t>
        </is>
      </c>
      <c r="G4" s="262" t="inlineStr">
        <is>
          <t>Rel_Strength</t>
        </is>
      </c>
      <c r="H4" s="262" t="inlineStr">
        <is>
          <t>CMS_v1_Score</t>
        </is>
      </c>
      <c r="I4" s="262" t="inlineStr">
        <is>
          <t>Surfacing_Status</t>
        </is>
      </c>
      <c r="J4" s="262" t="inlineStr">
        <is>
          <t>Cluster_ID</t>
        </is>
      </c>
      <c r="K4" s="212" t="inlineStr">
        <is>
          <t>Provenance_Source</t>
        </is>
      </c>
      <c r="L4" s="212" t="inlineStr">
        <is>
          <t>Lineage_Inspection</t>
        </is>
      </c>
    </row>
    <row r="5">
      <c r="A5" s="271">
        <f>IF(DATA_RELATIONSHIPS!B2&lt;&gt;"",""&amp;DATA_RELATIONSHIPS!B2,"")</f>
        <v/>
      </c>
      <c r="B5" s="271">
        <f>IF(A5&lt;&gt;"",""&amp;DATA_RELATIONSHIPS!C2,"")</f>
        <v/>
      </c>
      <c r="C5" s="271">
        <f>IF(A5&lt;&gt;"","KO","")</f>
        <v/>
      </c>
      <c r="D5" s="271">
        <f>IF(A5&lt;&gt;"",""&amp;DATA_RELATIONSHIPS!D2,"")</f>
        <v/>
      </c>
      <c r="E5" s="271">
        <f>IF(A5&lt;&gt;"","KO","")</f>
        <v/>
      </c>
      <c r="F5" s="271">
        <f>IF(A5&lt;&gt;"",""&amp;DATA_RELATIONSHIPS!F2,"")</f>
        <v/>
      </c>
      <c r="G5" s="279">
        <f>IF(A5&lt;&gt;"",DATA_RELATIONSHIPS!G2,"")</f>
        <v/>
      </c>
      <c r="H5" s="272">
        <f>IF(A5&lt;&gt;"",DATA_RELATIONSHIPS!G2,"")</f>
        <v/>
      </c>
      <c r="I5" s="271">
        <f>IF(A5&lt;&gt;"",""&amp;DATA_RELATIONSHIPS!H2,"")</f>
        <v/>
      </c>
      <c r="J5" s="271">
        <f>IF(A5&lt;&gt;"",""&amp;DATA_RELATIONSHIPS!I2,"")</f>
        <v/>
      </c>
      <c r="K5" s="267" t="inlineStr">
        <is>
          <t>DATA_RELATIONSHIPS (Interest Rate Expectation)</t>
        </is>
      </c>
      <c r="L5" s="280">
        <f>HYPERLINK("#'04_Lineage_Explorer'!A1", "➔ Trace Lineage")</f>
        <v/>
      </c>
    </row>
    <row r="6">
      <c r="A6" s="271">
        <f>IF(DATA_RELATIONSHIPS!B3&lt;&gt;"",""&amp;DATA_RELATIONSHIPS!B3,"")</f>
        <v/>
      </c>
      <c r="B6" s="271">
        <f>IF(A6&lt;&gt;"",""&amp;DATA_RELATIONSHIPS!C3,"")</f>
        <v/>
      </c>
      <c r="C6" s="271">
        <f>IF(A6&lt;&gt;"","KO","")</f>
        <v/>
      </c>
      <c r="D6" s="271">
        <f>IF(A6&lt;&gt;"",""&amp;DATA_RELATIONSHIPS!D3,"")</f>
        <v/>
      </c>
      <c r="E6" s="271">
        <f>IF(A6&lt;&gt;"","KO","")</f>
        <v/>
      </c>
      <c r="F6" s="271">
        <f>IF(A6&lt;&gt;"",""&amp;DATA_RELATIONSHIPS!F3,"")</f>
        <v/>
      </c>
      <c r="G6" s="279">
        <f>IF(A6&lt;&gt;"",DATA_RELATIONSHIPS!G3,"")</f>
        <v/>
      </c>
      <c r="H6" s="272">
        <f>IF(A6&lt;&gt;"",DATA_RELATIONSHIPS!G3,"")</f>
        <v/>
      </c>
      <c r="I6" s="271">
        <f>IF(A6&lt;&gt;"",""&amp;DATA_RELATIONSHIPS!H3,"")</f>
        <v/>
      </c>
      <c r="J6" s="271">
        <f>IF(A6&lt;&gt;"",""&amp;DATA_RELATIONSHIPS!I3,"")</f>
        <v/>
      </c>
      <c r="K6" s="267" t="inlineStr">
        <is>
          <t>DATA_RELATIONSHIPS (Yield Curve Transmission)</t>
        </is>
      </c>
      <c r="L6" s="280">
        <f>HYPERLINK("#'04_Lineage_Explorer'!A1", "➔ Trace Lineage")</f>
        <v/>
      </c>
    </row>
    <row r="7">
      <c r="A7" s="271">
        <f>IF(DATA_RELATIONSHIPS!B4&lt;&gt;"",""&amp;DATA_RELATIONSHIPS!B4,"")</f>
        <v/>
      </c>
      <c r="B7" s="271">
        <f>IF(A7&lt;&gt;"",""&amp;DATA_RELATIONSHIPS!C4,"")</f>
        <v/>
      </c>
      <c r="C7" s="271">
        <f>IF(A7&lt;&gt;"","KO","")</f>
        <v/>
      </c>
      <c r="D7" s="271">
        <f>IF(A7&lt;&gt;"",""&amp;DATA_RELATIONSHIPS!D4,"")</f>
        <v/>
      </c>
      <c r="E7" s="271">
        <f>IF(A7&lt;&gt;"","KO","")</f>
        <v/>
      </c>
      <c r="F7" s="271">
        <f>IF(A7&lt;&gt;"",""&amp;DATA_RELATIONSHIPS!F4,"")</f>
        <v/>
      </c>
      <c r="G7" s="281">
        <f>IF(A7&lt;&gt;"",DATA_RELATIONSHIPS!G4,"")</f>
        <v/>
      </c>
      <c r="H7" s="272">
        <f>IF(A7&lt;&gt;"",DATA_RELATIONSHIPS!G4,"")</f>
        <v/>
      </c>
      <c r="I7" s="271">
        <f>IF(A7&lt;&gt;"",""&amp;DATA_RELATIONSHIPS!H4,"")</f>
        <v/>
      </c>
      <c r="J7" s="271">
        <f>IF(A7&lt;&gt;"",""&amp;DATA_RELATIONSHIPS!I4,"")</f>
        <v/>
      </c>
      <c r="K7" s="267" t="inlineStr">
        <is>
          <t>DATA_RELATIONSHIPS (Institutional Capital Rotation)</t>
        </is>
      </c>
      <c r="L7" s="280">
        <f>HYPERLINK("#'04_Lineage_Explorer'!A1", "➔ Trace Lineage")</f>
        <v/>
      </c>
    </row>
    <row r="8">
      <c r="A8" s="271">
        <f>IF(DATA_RELATIONSHIPS!B5&lt;&gt;"",""&amp;DATA_RELATIONSHIPS!B5,"")</f>
        <v/>
      </c>
      <c r="B8" s="271">
        <f>IF(A8&lt;&gt;"",""&amp;DATA_RELATIONSHIPS!C5,"")</f>
        <v/>
      </c>
      <c r="C8" s="271">
        <f>IF(A8&lt;&gt;"","KO","")</f>
        <v/>
      </c>
      <c r="D8" s="271">
        <f>IF(A8&lt;&gt;"",""&amp;DATA_RELATIONSHIPS!D5,"")</f>
        <v/>
      </c>
      <c r="E8" s="271">
        <f>IF(A8&lt;&gt;"","KO","")</f>
        <v/>
      </c>
      <c r="F8" s="271">
        <f>IF(A8&lt;&gt;"",""&amp;DATA_RELATIONSHIPS!F5,"")</f>
        <v/>
      </c>
      <c r="G8" s="279">
        <f>IF(A8&lt;&gt;"",DATA_RELATIONSHIPS!G5,"")</f>
        <v/>
      </c>
      <c r="H8" s="272">
        <f>IF(A8&lt;&gt;"",DATA_RELATIONSHIPS!G5,"")</f>
        <v/>
      </c>
      <c r="I8" s="271">
        <f>IF(A8&lt;&gt;"",""&amp;DATA_RELATIONSHIPS!H5,"")</f>
        <v/>
      </c>
      <c r="J8" s="271">
        <f>IF(A8&lt;&gt;"",""&amp;DATA_RELATIONSHIPS!I5,"")</f>
        <v/>
      </c>
      <c r="K8" s="267" t="inlineStr">
        <is>
          <t>DATA_RELATIONSHIPS (Secular Valuation Benchmark)</t>
        </is>
      </c>
      <c r="L8" s="280">
        <f>HYPERLINK("#'04_Lineage_Explorer'!A1", "➔ Trace Lineage")</f>
        <v/>
      </c>
    </row>
    <row r="9">
      <c r="A9" s="271">
        <f>IF(DATA_RELATIONSHIPS!B6&lt;&gt;"",""&amp;DATA_RELATIONSHIPS!B6,"")</f>
        <v/>
      </c>
      <c r="B9" s="271">
        <f>IF(A9&lt;&gt;"",""&amp;DATA_RELATIONSHIPS!C6,"")</f>
        <v/>
      </c>
      <c r="C9" s="271">
        <f>IF(A9&lt;&gt;"","KO","")</f>
        <v/>
      </c>
      <c r="D9" s="271">
        <f>IF(A9&lt;&gt;"",""&amp;DATA_RELATIONSHIPS!D6,"")</f>
        <v/>
      </c>
      <c r="E9" s="271">
        <f>IF(A9&lt;&gt;"","KO","")</f>
        <v/>
      </c>
      <c r="F9" s="271">
        <f>IF(A9&lt;&gt;"",""&amp;DATA_RELATIONSHIPS!F6,"")</f>
        <v/>
      </c>
      <c r="G9" s="281">
        <f>IF(A9&lt;&gt;"",DATA_RELATIONSHIPS!G6,"")</f>
        <v/>
      </c>
      <c r="H9" s="272">
        <f>IF(A9&lt;&gt;"",DATA_RELATIONSHIPS!G6,"")</f>
        <v/>
      </c>
      <c r="I9" s="271">
        <f>IF(A9&lt;&gt;"",""&amp;DATA_RELATIONSHIPS!H6,"")</f>
        <v/>
      </c>
      <c r="J9" s="271">
        <f>IF(A9&lt;&gt;"",""&amp;DATA_RELATIONSHIPS!I6,"")</f>
        <v/>
      </c>
      <c r="K9" s="267" t="inlineStr">
        <is>
          <t>DATA_RELATIONSHIPS (Central Bank Signaling Arbitrage)</t>
        </is>
      </c>
      <c r="L9" s="280">
        <f>HYPERLINK("#'04_Lineage_Explorer'!A1", "➔ Trace Lineage")</f>
        <v/>
      </c>
    </row>
    <row r="10">
      <c r="A10" s="271">
        <f>IF(DATA_RELATIONSHIPS!B7&lt;&gt;"",""&amp;DATA_RELATIONSHIPS!B7,"")</f>
        <v/>
      </c>
      <c r="B10" s="271">
        <f>IF(A10&lt;&gt;"",""&amp;DATA_RELATIONSHIPS!C7,"")</f>
        <v/>
      </c>
      <c r="C10" s="271">
        <f>IF(A10&lt;&gt;"","KO","")</f>
        <v/>
      </c>
      <c r="D10" s="271">
        <f>IF(A10&lt;&gt;"",""&amp;DATA_RELATIONSHIPS!D7,"")</f>
        <v/>
      </c>
      <c r="E10" s="271">
        <f>IF(A10&lt;&gt;"","KO","")</f>
        <v/>
      </c>
      <c r="F10" s="271">
        <f>IF(A10&lt;&gt;"",""&amp;DATA_RELATIONSHIPS!F7,"")</f>
        <v/>
      </c>
      <c r="G10" s="279">
        <f>IF(A10&lt;&gt;"",DATA_RELATIONSHIPS!G7,"")</f>
        <v/>
      </c>
      <c r="H10" s="272">
        <f>IF(A10&lt;&gt;"",DATA_RELATIONSHIPS!G7,"")</f>
        <v/>
      </c>
      <c r="I10" s="271">
        <f>IF(A10&lt;&gt;"",""&amp;DATA_RELATIONSHIPS!H7,"")</f>
        <v/>
      </c>
      <c r="J10" s="271">
        <f>IF(A10&lt;&gt;"",""&amp;DATA_RELATIONSHIPS!I7,"")</f>
        <v/>
      </c>
      <c r="K10" s="267" t="inlineStr">
        <is>
          <t>DATA_RELATIONSHIPS (Debt Refinancing Term Premium)</t>
        </is>
      </c>
      <c r="L10" s="280">
        <f>HYPERLINK("#'04_Lineage_Explorer'!A1", "➔ Trace Lineage")</f>
        <v/>
      </c>
    </row>
    <row r="11">
      <c r="A11" s="271">
        <f>IF(DATA_RELATIONSHIPS!B8&lt;&gt;"",""&amp;DATA_RELATIONSHIPS!B8,"")</f>
        <v/>
      </c>
      <c r="B11" s="271">
        <f>IF(A11&lt;&gt;"",""&amp;DATA_RELATIONSHIPS!C8,"")</f>
        <v/>
      </c>
      <c r="C11" s="271">
        <f>IF(A11&lt;&gt;"","KO","")</f>
        <v/>
      </c>
      <c r="D11" s="271">
        <f>IF(A11&lt;&gt;"",""&amp;DATA_RELATIONSHIPS!D8,"")</f>
        <v/>
      </c>
      <c r="E11" s="271">
        <f>IF(A11&lt;&gt;"","KO","")</f>
        <v/>
      </c>
      <c r="F11" s="271">
        <f>IF(A11&lt;&gt;"",""&amp;DATA_RELATIONSHIPS!F8,"")</f>
        <v/>
      </c>
      <c r="G11" s="279">
        <f>IF(A11&lt;&gt;"",DATA_RELATIONSHIPS!G8,"")</f>
        <v/>
      </c>
      <c r="H11" s="272">
        <f>IF(A11&lt;&gt;"",DATA_RELATIONSHIPS!G8,"")</f>
        <v/>
      </c>
      <c r="I11" s="271">
        <f>IF(A11&lt;&gt;"",""&amp;DATA_RELATIONSHIPS!H8,"")</f>
        <v/>
      </c>
      <c r="J11" s="271">
        <f>IF(A11&lt;&gt;"",""&amp;DATA_RELATIONSHIPS!I8,"")</f>
        <v/>
      </c>
      <c r="K11" s="267" t="inlineStr">
        <is>
          <t>DATA_RELATIONSHIPS (Treasury Market Liquidity Vulnerability)</t>
        </is>
      </c>
      <c r="L11" s="280">
        <f>HYPERLINK("#'04_Lineage_Explorer'!A1", "➔ Trace Lineage")</f>
        <v/>
      </c>
    </row>
    <row r="12">
      <c r="A12" s="271">
        <f>IF(DATA_RELATIONSHIPS!B9&lt;&gt;"",""&amp;DATA_RELATIONSHIPS!B9,"")</f>
        <v/>
      </c>
      <c r="B12" s="271">
        <f>IF(A12&lt;&gt;"",""&amp;DATA_RELATIONSHIPS!C9,"")</f>
        <v/>
      </c>
      <c r="C12" s="271">
        <f>IF(A12&lt;&gt;"","KO","")</f>
        <v/>
      </c>
      <c r="D12" s="271">
        <f>IF(A12&lt;&gt;"",""&amp;DATA_RELATIONSHIPS!D9,"")</f>
        <v/>
      </c>
      <c r="E12" s="271">
        <f>IF(A12&lt;&gt;"","KO","")</f>
        <v/>
      </c>
      <c r="F12" s="271">
        <f>IF(A12&lt;&gt;"",""&amp;DATA_RELATIONSHIPS!F9,"")</f>
        <v/>
      </c>
      <c r="G12" s="281">
        <f>IF(A12&lt;&gt;"",DATA_RELATIONSHIPS!G9,"")</f>
        <v/>
      </c>
      <c r="H12" s="272">
        <f>IF(A12&lt;&gt;"",DATA_RELATIONSHIPS!G9,"")</f>
        <v/>
      </c>
      <c r="I12" s="271">
        <f>IF(A12&lt;&gt;"",""&amp;DATA_RELATIONSHIPS!H9,"")</f>
        <v/>
      </c>
      <c r="J12" s="271">
        <f>IF(A12&lt;&gt;"",""&amp;DATA_RELATIONSHIPS!I9,"")</f>
        <v/>
      </c>
      <c r="K12" s="267" t="inlineStr">
        <is>
          <t>DATA_RELATIONSHIPS (Fiscal Dominance Cost-Push Feedback)</t>
        </is>
      </c>
      <c r="L12" s="280">
        <f>HYPERLINK("#'04_Lineage_Explorer'!A1", "➔ Trace Lineage")</f>
        <v/>
      </c>
    </row>
    <row r="13">
      <c r="A13" s="271">
        <f>IF(DATA_RELATIONSHIPS!B10&lt;&gt;"",""&amp;DATA_RELATIONSHIPS!B10,"")</f>
        <v/>
      </c>
      <c r="B13" s="271">
        <f>IF(A13&lt;&gt;"",""&amp;DATA_RELATIONSHIPS!C10,"")</f>
        <v/>
      </c>
      <c r="C13" s="271">
        <f>IF(A13&lt;&gt;"","KO","")</f>
        <v/>
      </c>
      <c r="D13" s="271">
        <f>IF(A13&lt;&gt;"",""&amp;DATA_RELATIONSHIPS!D10,"")</f>
        <v/>
      </c>
      <c r="E13" s="271">
        <f>IF(A13&lt;&gt;"","KO","")</f>
        <v/>
      </c>
      <c r="F13" s="271">
        <f>IF(A13&lt;&gt;"",""&amp;DATA_RELATIONSHIPS!F10,"")</f>
        <v/>
      </c>
      <c r="G13" s="279">
        <f>IF(A13&lt;&gt;"",DATA_RELATIONSHIPS!G10,"")</f>
        <v/>
      </c>
      <c r="H13" s="272">
        <f>IF(A13&lt;&gt;"",DATA_RELATIONSHIPS!G10,"")</f>
        <v/>
      </c>
      <c r="I13" s="271">
        <f>IF(A13&lt;&gt;"",""&amp;DATA_RELATIONSHIPS!H10,"")</f>
        <v/>
      </c>
      <c r="J13" s="271">
        <f>IF(A13&lt;&gt;"",""&amp;DATA_RELATIONSHIPS!I10,"")</f>
        <v/>
      </c>
      <c r="K13" s="267" t="inlineStr">
        <is>
          <t>DATA_RELATIONSHIPS (Token Revenue-to-Debt Mismatch)</t>
        </is>
      </c>
      <c r="L13" s="280">
        <f>HYPERLINK("#'04_Lineage_Explorer'!A1", "➔ Trace Lineage")</f>
        <v/>
      </c>
    </row>
    <row r="14">
      <c r="A14" s="271">
        <f>IF(DATA_RELATIONSHIPS!B11&lt;&gt;"",""&amp;DATA_RELATIONSHIPS!B11,"")</f>
        <v/>
      </c>
      <c r="B14" s="271">
        <f>IF(A14&lt;&gt;"",""&amp;DATA_RELATIONSHIPS!C11,"")</f>
        <v/>
      </c>
      <c r="C14" s="271">
        <f>IF(A14&lt;&gt;"","KO","")</f>
        <v/>
      </c>
      <c r="D14" s="271">
        <f>IF(A14&lt;&gt;"",""&amp;DATA_RELATIONSHIPS!D11,"")</f>
        <v/>
      </c>
      <c r="E14" s="271">
        <f>IF(A14&lt;&gt;"","KO","")</f>
        <v/>
      </c>
      <c r="F14" s="271">
        <f>IF(A14&lt;&gt;"",""&amp;DATA_RELATIONSHIPS!F11,"")</f>
        <v/>
      </c>
      <c r="G14" s="279">
        <f>IF(A14&lt;&gt;"",DATA_RELATIONSHIPS!G11,"")</f>
        <v/>
      </c>
      <c r="H14" s="272">
        <f>IF(A14&lt;&gt;"",DATA_RELATIONSHIPS!G11,"")</f>
        <v/>
      </c>
      <c r="I14" s="271">
        <f>IF(A14&lt;&gt;"",""&amp;DATA_RELATIONSHIPS!H11,"")</f>
        <v/>
      </c>
      <c r="J14" s="271">
        <f>IF(A14&lt;&gt;"",""&amp;DATA_RELATIONSHIPS!I11,"")</f>
        <v/>
      </c>
      <c r="K14" s="267" t="inlineStr">
        <is>
          <t>DATA_RELATIONSHIPS (Off-Balance Sheet Refinancing Cliff)</t>
        </is>
      </c>
      <c r="L14" s="280">
        <f>HYPERLINK("#'04_Lineage_Explorer'!A1", "➔ Trace Lineage")</f>
        <v/>
      </c>
    </row>
    <row r="15">
      <c r="A15" s="271">
        <f>IF(DATA_RELATIONSHIPS!B12&lt;&gt;"",""&amp;DATA_RELATIONSHIPS!B12,"")</f>
        <v/>
      </c>
      <c r="B15" s="271">
        <f>IF(A15&lt;&gt;"",""&amp;DATA_RELATIONSHIPS!C12,"")</f>
        <v/>
      </c>
      <c r="C15" s="271">
        <f>IF(A15&lt;&gt;"","KO","")</f>
        <v/>
      </c>
      <c r="D15" s="271">
        <f>IF(A15&lt;&gt;"",""&amp;DATA_RELATIONSHIPS!D12,"")</f>
        <v/>
      </c>
      <c r="E15" s="271">
        <f>IF(A15&lt;&gt;"","KO","")</f>
        <v/>
      </c>
      <c r="F15" s="271">
        <f>IF(A15&lt;&gt;"",""&amp;DATA_RELATIONSHIPS!F12,"")</f>
        <v/>
      </c>
      <c r="G15" s="281">
        <f>IF(A15&lt;&gt;"",DATA_RELATIONSHIPS!G12,"")</f>
        <v/>
      </c>
      <c r="H15" s="272">
        <f>IF(A15&lt;&gt;"",DATA_RELATIONSHIPS!G12,"")</f>
        <v/>
      </c>
      <c r="I15" s="271">
        <f>IF(A15&lt;&gt;"",""&amp;DATA_RELATIONSHIPS!H12,"")</f>
        <v/>
      </c>
      <c r="J15" s="271">
        <f>IF(A15&lt;&gt;"",""&amp;DATA_RELATIONSHIPS!I12,"")</f>
        <v/>
      </c>
      <c r="K15" s="267" t="inlineStr">
        <is>
          <t>DATA_RELATIONSHIPS (Leveraged Liquidity Contagion)</t>
        </is>
      </c>
      <c r="L15" s="280">
        <f>HYPERLINK("#'04_Lineage_Explorer'!A1", "➔ Trace Lineage")</f>
        <v/>
      </c>
    </row>
    <row r="16">
      <c r="A16" s="271">
        <f>IF(DATA_RELATIONSHIPS!B13&lt;&gt;"",""&amp;DATA_RELATIONSHIPS!B13,"")</f>
        <v/>
      </c>
      <c r="B16" s="271">
        <f>IF(A16&lt;&gt;"",""&amp;DATA_RELATIONSHIPS!C13,"")</f>
        <v/>
      </c>
      <c r="C16" s="271">
        <f>IF(A16&lt;&gt;"","KO","")</f>
        <v/>
      </c>
      <c r="D16" s="271">
        <f>IF(A16&lt;&gt;"",""&amp;DATA_RELATIONSHIPS!D13,"")</f>
        <v/>
      </c>
      <c r="E16" s="271">
        <f>IF(A16&lt;&gt;"","KO","")</f>
        <v/>
      </c>
      <c r="F16" s="271">
        <f>IF(A16&lt;&gt;"",""&amp;DATA_RELATIONSHIPS!F13,"")</f>
        <v/>
      </c>
      <c r="G16" s="279">
        <f>IF(A16&lt;&gt;"",DATA_RELATIONSHIPS!G13,"")</f>
        <v/>
      </c>
      <c r="H16" s="272">
        <f>IF(A16&lt;&gt;"",DATA_RELATIONSHIPS!G13,"")</f>
        <v/>
      </c>
      <c r="I16" s="271">
        <f>IF(A16&lt;&gt;"",""&amp;DATA_RELATIONSHIPS!H13,"")</f>
        <v/>
      </c>
      <c r="J16" s="271">
        <f>IF(A16&lt;&gt;"",""&amp;DATA_RELATIONSHIPS!I13,"")</f>
        <v/>
      </c>
      <c r="K16" s="267" t="inlineStr">
        <is>
          <t>DATA_RELATIONSHIPS (Inverted Heuristic Trigger)</t>
        </is>
      </c>
      <c r="L16" s="280">
        <f>HYPERLINK("#'04_Lineage_Explorer'!A1", "➔ Trace Lineage")</f>
        <v/>
      </c>
    </row>
    <row r="17">
      <c r="A17" s="271">
        <f>IF(DATA_RELATIONSHIPS!B14&lt;&gt;"",""&amp;DATA_RELATIONSHIPS!B14,"")</f>
        <v/>
      </c>
      <c r="B17" s="271">
        <f>IF(A17&lt;&gt;"",""&amp;DATA_RELATIONSHIPS!C14,"")</f>
        <v/>
      </c>
      <c r="C17" s="271">
        <f>IF(A17&lt;&gt;"","KO","")</f>
        <v/>
      </c>
      <c r="D17" s="271">
        <f>IF(A17&lt;&gt;"",""&amp;DATA_RELATIONSHIPS!D14,"")</f>
        <v/>
      </c>
      <c r="E17" s="271">
        <f>IF(A17&lt;&gt;"","KO","")</f>
        <v/>
      </c>
      <c r="F17" s="271">
        <f>IF(A17&lt;&gt;"",""&amp;DATA_RELATIONSHIPS!F14,"")</f>
        <v/>
      </c>
      <c r="G17" s="279">
        <f>IF(A17&lt;&gt;"",DATA_RELATIONSHIPS!G14,"")</f>
        <v/>
      </c>
      <c r="H17" s="272">
        <f>IF(A17&lt;&gt;"",DATA_RELATIONSHIPS!G14,"")</f>
        <v/>
      </c>
      <c r="I17" s="271">
        <f>IF(A17&lt;&gt;"",""&amp;DATA_RELATIONSHIPS!H14,"")</f>
        <v/>
      </c>
      <c r="J17" s="271">
        <f>IF(A17&lt;&gt;"",""&amp;DATA_RELATIONSHIPS!I14,"")</f>
        <v/>
      </c>
      <c r="K17" s="267" t="inlineStr">
        <is>
          <t>DATA_RELATIONSHIPS (Narrative Disparity Realization)</t>
        </is>
      </c>
      <c r="L17" s="280">
        <f>HYPERLINK("#'04_Lineage_Explorer'!A1", "➔ Trace Lineage")</f>
        <v/>
      </c>
    </row>
    <row r="18">
      <c r="A18" s="271">
        <f>IF(DATA_RELATIONSHIPS!B15&lt;&gt;"",""&amp;DATA_RELATIONSHIPS!B15,"")</f>
        <v/>
      </c>
      <c r="B18" s="271">
        <f>IF(A18&lt;&gt;"",""&amp;DATA_RELATIONSHIPS!C15,"")</f>
        <v/>
      </c>
      <c r="C18" s="271">
        <f>IF(A18&lt;&gt;"","KO","")</f>
        <v/>
      </c>
      <c r="D18" s="271">
        <f>IF(A18&lt;&gt;"",""&amp;DATA_RELATIONSHIPS!D15,"")</f>
        <v/>
      </c>
      <c r="E18" s="271">
        <f>IF(A18&lt;&gt;"","KO","")</f>
        <v/>
      </c>
      <c r="F18" s="271">
        <f>IF(A18&lt;&gt;"",""&amp;DATA_RELATIONSHIPS!F15,"")</f>
        <v/>
      </c>
      <c r="G18" s="281">
        <f>IF(A18&lt;&gt;"",DATA_RELATIONSHIPS!G15,"")</f>
        <v/>
      </c>
      <c r="H18" s="272">
        <f>IF(A18&lt;&gt;"",DATA_RELATIONSHIPS!G15,"")</f>
        <v/>
      </c>
      <c r="I18" s="271">
        <f>IF(A18&lt;&gt;"",""&amp;DATA_RELATIONSHIPS!H15,"")</f>
        <v/>
      </c>
      <c r="J18" s="271">
        <f>IF(A18&lt;&gt;"",""&amp;DATA_RELATIONSHIPS!I15,"")</f>
        <v/>
      </c>
      <c r="K18" s="267" t="inlineStr">
        <is>
          <t>DATA_RELATIONSHIPS (Commodity Cycle Momentum Decoupling)</t>
        </is>
      </c>
      <c r="L18" s="280">
        <f>HYPERLINK("#'04_Lineage_Explorer'!A1", "➔ Trace Lineage")</f>
        <v/>
      </c>
    </row>
    <row r="19">
      <c r="A19" s="271">
        <f>IF(DATA_RELATIONSHIPS!B16&lt;&gt;"",""&amp;DATA_RELATIONSHIPS!B16,"")</f>
        <v/>
      </c>
      <c r="B19" s="271">
        <f>IF(A19&lt;&gt;"",""&amp;DATA_RELATIONSHIPS!C16,"")</f>
        <v/>
      </c>
      <c r="C19" s="271">
        <f>IF(A19&lt;&gt;"","KO","")</f>
        <v/>
      </c>
      <c r="D19" s="271">
        <f>IF(A19&lt;&gt;"",""&amp;DATA_RELATIONSHIPS!D16,"")</f>
        <v/>
      </c>
      <c r="E19" s="271">
        <f>IF(A19&lt;&gt;"","KO","")</f>
        <v/>
      </c>
      <c r="F19" s="271">
        <f>IF(A19&lt;&gt;"",""&amp;DATA_RELATIONSHIPS!F16,"")</f>
        <v/>
      </c>
      <c r="G19" s="279">
        <f>IF(A19&lt;&gt;"",DATA_RELATIONSHIPS!G16,"")</f>
        <v/>
      </c>
      <c r="H19" s="272">
        <f>IF(A19&lt;&gt;"",DATA_RELATIONSHIPS!G16,"")</f>
        <v/>
      </c>
      <c r="I19" s="271">
        <f>IF(A19&lt;&gt;"",""&amp;DATA_RELATIONSHIPS!H16,"")</f>
        <v/>
      </c>
      <c r="J19" s="271">
        <f>IF(A19&lt;&gt;"",""&amp;DATA_RELATIONSHIPS!I16,"")</f>
        <v/>
      </c>
      <c r="K19" s="267" t="inlineStr">
        <is>
          <t>DATA_RELATIONSHIPS (Institutional Systemic Memory Safeguard)</t>
        </is>
      </c>
      <c r="L19" s="280">
        <f>HYPERLINK("#'04_Lineage_Explorer'!A1", "➔ Trace Lineage")</f>
        <v/>
      </c>
    </row>
    <row r="20">
      <c r="A20" s="271">
        <f>IF(DATA_RELATIONSHIPS!B17&lt;&gt;"",""&amp;DATA_RELATIONSHIPS!B17,"")</f>
        <v/>
      </c>
      <c r="B20" s="271">
        <f>IF(A20&lt;&gt;"",""&amp;DATA_RELATIONSHIPS!C17,"")</f>
        <v/>
      </c>
      <c r="C20" s="271">
        <f>IF(A20&lt;&gt;"","KO","")</f>
        <v/>
      </c>
      <c r="D20" s="271">
        <f>IF(A20&lt;&gt;"",""&amp;DATA_RELATIONSHIPS!D17,"")</f>
        <v/>
      </c>
      <c r="E20" s="271">
        <f>IF(A20&lt;&gt;"","KO","")</f>
        <v/>
      </c>
      <c r="F20" s="271">
        <f>IF(A20&lt;&gt;"",""&amp;DATA_RELATIONSHIPS!F17,"")</f>
        <v/>
      </c>
      <c r="G20" s="279">
        <f>IF(A20&lt;&gt;"",DATA_RELATIONSHIPS!G17,"")</f>
        <v/>
      </c>
      <c r="H20" s="272">
        <f>IF(A20&lt;&gt;"",DATA_RELATIONSHIPS!G17,"")</f>
        <v/>
      </c>
      <c r="I20" s="271">
        <f>IF(A20&lt;&gt;"",""&amp;DATA_RELATIONSHIPS!H17,"")</f>
        <v/>
      </c>
      <c r="J20" s="271">
        <f>IF(A20&lt;&gt;"",""&amp;DATA_RELATIONSHIPS!I17,"")</f>
        <v/>
      </c>
      <c r="K20" s="267" t="inlineStr">
        <is>
          <t>DATA_RELATIONSHIPS (Resource Leverage Operating Beta)</t>
        </is>
      </c>
      <c r="L20" s="280">
        <f>HYPERLINK("#'04_Lineage_Explorer'!A1", "➔ Trace Lineage")</f>
        <v/>
      </c>
    </row>
    <row r="21" ht="15.75" customHeight="1" s="132">
      <c r="A21" s="271">
        <f>IF(DATA_RELATIONSHIPS!B18&lt;&gt;"",""&amp;DATA_RELATIONSHIPS!B18,"")</f>
        <v/>
      </c>
      <c r="B21" s="271">
        <f>IF(A21&lt;&gt;"",""&amp;DATA_RELATIONSHIPS!C18,"")</f>
        <v/>
      </c>
      <c r="C21" s="271">
        <f>IF(A21&lt;&gt;"","KO","")</f>
        <v/>
      </c>
      <c r="D21" s="271">
        <f>IF(A21&lt;&gt;"",""&amp;DATA_RELATIONSHIPS!D18,"")</f>
        <v/>
      </c>
      <c r="E21" s="271">
        <f>IF(A21&lt;&gt;"","KO","")</f>
        <v/>
      </c>
      <c r="F21" s="271">
        <f>IF(A21&lt;&gt;"",""&amp;DATA_RELATIONSHIPS!F18,"")</f>
        <v/>
      </c>
      <c r="G21" s="279">
        <f>IF(A21&lt;&gt;"",DATA_RELATIONSHIPS!G18,"")</f>
        <v/>
      </c>
      <c r="H21" s="272">
        <f>IF(A21&lt;&gt;"",DATA_RELATIONSHIPS!G18,"")</f>
        <v/>
      </c>
      <c r="I21" s="271">
        <f>IF(A21&lt;&gt;"",""&amp;DATA_RELATIONSHIPS!H18,"")</f>
        <v/>
      </c>
      <c r="J21" s="271">
        <f>IF(A21&lt;&gt;"",""&amp;DATA_RELATIONSHIPS!I18,"")</f>
        <v/>
      </c>
      <c r="K21" s="267" t="inlineStr">
        <is>
          <t>DATA_RELATIONSHIPS (Operating Margin Bull Confirmation)</t>
        </is>
      </c>
      <c r="L21" s="280">
        <f>HYPERLINK("#'04_Lineage_Explorer'!A1", "➔ Trace Lineage")</f>
        <v/>
      </c>
    </row>
    <row r="22" ht="15.75" customHeight="1" s="132">
      <c r="A22" s="271">
        <f>IF(DATA_RELATIONSHIPS!B19&lt;&gt;"",""&amp;DATA_RELATIONSHIPS!B19,"")</f>
        <v/>
      </c>
      <c r="B22" s="271">
        <f>IF(A22&lt;&gt;"",""&amp;DATA_RELATIONSHIPS!C19,"")</f>
        <v/>
      </c>
      <c r="C22" s="271">
        <f>IF(A22&lt;&gt;"","KO","")</f>
        <v/>
      </c>
      <c r="D22" s="271">
        <f>IF(A22&lt;&gt;"",""&amp;DATA_RELATIONSHIPS!D19,"")</f>
        <v/>
      </c>
      <c r="E22" s="271">
        <f>IF(A22&lt;&gt;"","KO","")</f>
        <v/>
      </c>
      <c r="F22" s="271">
        <f>IF(A22&lt;&gt;"",""&amp;DATA_RELATIONSHIPS!F19,"")</f>
        <v/>
      </c>
      <c r="G22" s="279">
        <f>IF(A22&lt;&gt;"",DATA_RELATIONSHIPS!G19,"")</f>
        <v/>
      </c>
      <c r="H22" s="272">
        <f>IF(A22&lt;&gt;"",DATA_RELATIONSHIPS!G19,"")</f>
        <v/>
      </c>
      <c r="I22" s="271">
        <f>IF(A22&lt;&gt;"",""&amp;DATA_RELATIONSHIPS!H19,"")</f>
        <v/>
      </c>
      <c r="J22" s="271">
        <f>IF(A22&lt;&gt;"",""&amp;DATA_RELATIONSHIPS!I19,"")</f>
        <v/>
      </c>
      <c r="K22" s="267" t="inlineStr">
        <is>
          <t>DATA_RELATIONSHIPS (Fiscal Vulnerability Weaponization)</t>
        </is>
      </c>
    </row>
    <row r="23" ht="15.75" customHeight="1" s="132">
      <c r="A23" s="271">
        <f>IF(DATA_RELATIONSHIPS!B20&lt;&gt;"",""&amp;DATA_RELATIONSHIPS!B20,"")</f>
        <v/>
      </c>
      <c r="B23" s="271">
        <f>IF(A23&lt;&gt;"",""&amp;DATA_RELATIONSHIPS!C20,"")</f>
        <v/>
      </c>
      <c r="C23" s="271">
        <f>IF(A23&lt;&gt;"","KO","")</f>
        <v/>
      </c>
      <c r="D23" s="271">
        <f>IF(A23&lt;&gt;"",""&amp;DATA_RELATIONSHIPS!D20,"")</f>
        <v/>
      </c>
      <c r="E23" s="271">
        <f>IF(A23&lt;&gt;"","KO","")</f>
        <v/>
      </c>
      <c r="F23" s="271">
        <f>IF(A23&lt;&gt;"",""&amp;DATA_RELATIONSHIPS!F20,"")</f>
        <v/>
      </c>
      <c r="G23" s="279">
        <f>IF(A23&lt;&gt;"",DATA_RELATIONSHIPS!G20,"")</f>
        <v/>
      </c>
      <c r="H23" s="272">
        <f>IF(A23&lt;&gt;"",DATA_RELATIONSHIPS!G20,"")</f>
        <v/>
      </c>
      <c r="I23" s="271">
        <f>IF(A23&lt;&gt;"",""&amp;DATA_RELATIONSHIPS!H20,"")</f>
        <v/>
      </c>
      <c r="J23" s="271">
        <f>IF(A23&lt;&gt;"",""&amp;DATA_RELATIONSHIPS!I20,"")</f>
        <v/>
      </c>
      <c r="K23" s="267" t="inlineStr">
        <is>
          <t>DATA_RELATIONSHIPS (Cost-Push Policy Asymmetry Transmission)</t>
        </is>
      </c>
    </row>
    <row r="24" ht="15.75" customHeight="1" s="132">
      <c r="A24" s="271">
        <f>IF(DATA_RELATIONSHIPS!B21&lt;&gt;"",""&amp;DATA_RELATIONSHIPS!B21,"")</f>
        <v/>
      </c>
      <c r="B24" s="271">
        <f>IF(A24&lt;&gt;"",""&amp;DATA_RELATIONSHIPS!C21,"")</f>
        <v/>
      </c>
      <c r="C24" s="271">
        <f>IF(A24&lt;&gt;"","KO","")</f>
        <v/>
      </c>
      <c r="D24" s="271">
        <f>IF(A24&lt;&gt;"",""&amp;DATA_RELATIONSHIPS!D21,"")</f>
        <v/>
      </c>
      <c r="E24" s="271">
        <f>IF(A24&lt;&gt;"","KO","")</f>
        <v/>
      </c>
      <c r="F24" s="271">
        <f>IF(A24&lt;&gt;"",""&amp;DATA_RELATIONSHIPS!F21,"")</f>
        <v/>
      </c>
      <c r="G24" s="279">
        <f>IF(A24&lt;&gt;"",DATA_RELATIONSHIPS!G21,"")</f>
        <v/>
      </c>
      <c r="H24" s="272">
        <f>IF(A24&lt;&gt;"",DATA_RELATIONSHIPS!G21,"")</f>
        <v/>
      </c>
      <c r="I24" s="271">
        <f>IF(A24&lt;&gt;"",""&amp;DATA_RELATIONSHIPS!H21,"")</f>
        <v/>
      </c>
      <c r="J24" s="271">
        <f>IF(A24&lt;&gt;"",""&amp;DATA_RELATIONSHIPS!I21,"")</f>
        <v/>
      </c>
      <c r="K24" s="267" t="inlineStr">
        <is>
          <t>DATA_RELATIONSHIPS (Reserve Divestment Countermeasure)</t>
        </is>
      </c>
    </row>
    <row r="25" ht="15.75" customHeight="1" s="132">
      <c r="A25" s="271">
        <f>IF(DATA_RELATIONSHIPS!B22&lt;&gt;"",""&amp;DATA_RELATIONSHIPS!B22,"")</f>
        <v/>
      </c>
      <c r="B25" s="271">
        <f>IF(A25&lt;&gt;"",""&amp;DATA_RELATIONSHIPS!C22,"")</f>
        <v/>
      </c>
      <c r="C25" s="271">
        <f>IF(A25&lt;&gt;"","KO","")</f>
        <v/>
      </c>
      <c r="D25" s="271">
        <f>IF(A25&lt;&gt;"",""&amp;DATA_RELATIONSHIPS!D22,"")</f>
        <v/>
      </c>
      <c r="E25" s="271">
        <f>IF(A25&lt;&gt;"","KO","")</f>
        <v/>
      </c>
      <c r="F25" s="271">
        <f>IF(A25&lt;&gt;"",""&amp;DATA_RELATIONSHIPS!F22,"")</f>
        <v/>
      </c>
      <c r="G25" s="281">
        <f>IF(A25&lt;&gt;"",DATA_RELATIONSHIPS!G22,"")</f>
        <v/>
      </c>
      <c r="H25" s="272">
        <f>IF(A25&lt;&gt;"",DATA_RELATIONSHIPS!G22,"")</f>
        <v/>
      </c>
      <c r="I25" s="271">
        <f>IF(A25&lt;&gt;"",""&amp;DATA_RELATIONSHIPS!H22,"")</f>
        <v/>
      </c>
      <c r="J25" s="271">
        <f>IF(A25&lt;&gt;"",""&amp;DATA_RELATIONSHIPS!I22,"")</f>
        <v/>
      </c>
      <c r="K25" s="267" t="inlineStr">
        <is>
          <t>DATA_RELATIONSHIPS (Petrodollar Re-Anchoring Flow)</t>
        </is>
      </c>
    </row>
    <row r="26" ht="15.75" customHeight="1" s="132">
      <c r="A26" s="271">
        <f>IF(DATA_RELATIONSHIPS!B23&lt;&gt;"",""&amp;DATA_RELATIONSHIPS!B23,"")</f>
        <v/>
      </c>
      <c r="B26" s="271">
        <f>IF(A26&lt;&gt;"",""&amp;DATA_RELATIONSHIPS!C23,"")</f>
        <v/>
      </c>
      <c r="C26" s="271">
        <f>IF(A26&lt;&gt;"","KO","")</f>
        <v/>
      </c>
      <c r="D26" s="271">
        <f>IF(A26&lt;&gt;"",""&amp;DATA_RELATIONSHIPS!D23,"")</f>
        <v/>
      </c>
      <c r="E26" s="271">
        <f>IF(A26&lt;&gt;"","KO","")</f>
        <v/>
      </c>
      <c r="F26" s="271">
        <f>IF(A26&lt;&gt;"",""&amp;DATA_RELATIONSHIPS!F23,"")</f>
        <v/>
      </c>
      <c r="G26" s="281">
        <f>IF(A26&lt;&gt;"",DATA_RELATIONSHIPS!G23,"")</f>
        <v/>
      </c>
      <c r="H26" s="272">
        <f>IF(A26&lt;&gt;"",DATA_RELATIONSHIPS!G23,"")</f>
        <v/>
      </c>
      <c r="I26" s="271">
        <f>IF(A26&lt;&gt;"",""&amp;DATA_RELATIONSHIPS!H23,"")</f>
        <v/>
      </c>
      <c r="J26" s="271">
        <f>IF(A26&lt;&gt;"",""&amp;DATA_RELATIONSHIPS!I23,"")</f>
        <v/>
      </c>
      <c r="K26" s="267" t="inlineStr">
        <is>
          <t>DATA_RELATIONSHIPS (Theological Perception Divergence)</t>
        </is>
      </c>
    </row>
    <row r="27" ht="15.75" customHeight="1" s="132">
      <c r="A27" s="271">
        <f>IF(DATA_RELATIONSHIPS!B24&lt;&gt;"",""&amp;DATA_RELATIONSHIPS!B24,"")</f>
        <v/>
      </c>
      <c r="B27" s="271">
        <f>IF(A27&lt;&gt;"",""&amp;DATA_RELATIONSHIPS!C24,"")</f>
        <v/>
      </c>
      <c r="C27" s="271">
        <f>IF(A27&lt;&gt;"","KO","")</f>
        <v/>
      </c>
      <c r="D27" s="271">
        <f>IF(A27&lt;&gt;"",""&amp;DATA_RELATIONSHIPS!D24,"")</f>
        <v/>
      </c>
      <c r="E27" s="271">
        <f>IF(A27&lt;&gt;"","KO","")</f>
        <v/>
      </c>
      <c r="F27" s="271">
        <f>IF(A27&lt;&gt;"",""&amp;DATA_RELATIONSHIPS!F24,"")</f>
        <v/>
      </c>
      <c r="G27" s="279">
        <f>IF(A27&lt;&gt;"",DATA_RELATIONSHIPS!G24,"")</f>
        <v/>
      </c>
      <c r="H27" s="272">
        <f>IF(A27&lt;&gt;"",DATA_RELATIONSHIPS!G24,"")</f>
        <v/>
      </c>
      <c r="I27" s="271">
        <f>IF(A27&lt;&gt;"",""&amp;DATA_RELATIONSHIPS!H24,"")</f>
        <v/>
      </c>
      <c r="J27" s="271">
        <f>IF(A27&lt;&gt;"",""&amp;DATA_RELATIONSHIPS!I24,"")</f>
        <v/>
      </c>
      <c r="K27" s="267" t="inlineStr">
        <is>
          <t>DATA_RELATIONSHIPS (Macro Tail-Risk Tactical Hedging)</t>
        </is>
      </c>
    </row>
    <row r="28" ht="15.75" customHeight="1" s="132">
      <c r="A28" s="273">
        <f>IF(DATA_RELATIONSHIPS!B25&lt;&gt;"",""&amp;DATA_RELATIONSHIPS!B25,"")</f>
        <v/>
      </c>
      <c r="B28" s="273">
        <f>IF(A28&lt;&gt;"",""&amp;DATA_RELATIONSHIPS!C25,"")</f>
        <v/>
      </c>
      <c r="C28" s="273">
        <f>IF(A28&lt;&gt;"","KO","")</f>
        <v/>
      </c>
      <c r="D28" s="273">
        <f>IF(A28&lt;&gt;"",""&amp;DATA_RELATIONSHIPS!D25,"")</f>
        <v/>
      </c>
      <c r="E28" s="273">
        <f>IF(A28&lt;&gt;"","KO","")</f>
        <v/>
      </c>
      <c r="F28" s="273">
        <f>IF(A28&lt;&gt;"",""&amp;DATA_RELATIONSHIPS!F25,"")</f>
        <v/>
      </c>
      <c r="G28" s="274">
        <f>IF(A28&lt;&gt;"",DATA_RELATIONSHIPS!G25,"")</f>
        <v/>
      </c>
      <c r="H28" s="274">
        <f>IF(A28&lt;&gt;"",DATA_RELATIONSHIPS!G25,"")</f>
        <v/>
      </c>
      <c r="I28" s="273">
        <f>IF(A28&lt;&gt;"",""&amp;DATA_RELATIONSHIPS!H25,"")</f>
        <v/>
      </c>
      <c r="J28" s="273">
        <f>IF(A28&lt;&gt;"",""&amp;DATA_RELATIONSHIPS!I25,"")</f>
        <v/>
      </c>
    </row>
    <row r="29" ht="15.75" customHeight="1" s="132">
      <c r="A29" s="273">
        <f>IF(DATA_RELATIONSHIPS!B26&lt;&gt;"",""&amp;DATA_RELATIONSHIPS!B26,"")</f>
        <v/>
      </c>
      <c r="B29" s="273">
        <f>IF(A29&lt;&gt;"",""&amp;DATA_RELATIONSHIPS!C26,"")</f>
        <v/>
      </c>
      <c r="C29" s="273">
        <f>IF(A29&lt;&gt;"","KO","")</f>
        <v/>
      </c>
      <c r="D29" s="273">
        <f>IF(A29&lt;&gt;"",""&amp;DATA_RELATIONSHIPS!D26,"")</f>
        <v/>
      </c>
      <c r="E29" s="273">
        <f>IF(A29&lt;&gt;"","KO","")</f>
        <v/>
      </c>
      <c r="F29" s="273">
        <f>IF(A29&lt;&gt;"",""&amp;DATA_RELATIONSHIPS!F26,"")</f>
        <v/>
      </c>
      <c r="G29" s="274">
        <f>IF(A29&lt;&gt;"",DATA_RELATIONSHIPS!G26,"")</f>
        <v/>
      </c>
      <c r="H29" s="274">
        <f>IF(A29&lt;&gt;"",DATA_RELATIONSHIPS!G26,"")</f>
        <v/>
      </c>
      <c r="I29" s="273">
        <f>IF(A29&lt;&gt;"",""&amp;DATA_RELATIONSHIPS!H26,"")</f>
        <v/>
      </c>
      <c r="J29" s="273">
        <f>IF(A29&lt;&gt;"",""&amp;DATA_RELATIONSHIPS!I26,"")</f>
        <v/>
      </c>
    </row>
    <row r="30" ht="15.75" customHeight="1" s="132">
      <c r="A30" s="273">
        <f>IF(DATA_RELATIONSHIPS!B27&lt;&gt;"",""&amp;DATA_RELATIONSHIPS!B27,"")</f>
        <v/>
      </c>
      <c r="B30" s="273">
        <f>IF(A30&lt;&gt;"",""&amp;DATA_RELATIONSHIPS!C27,"")</f>
        <v/>
      </c>
      <c r="C30" s="273">
        <f>IF(A30&lt;&gt;"","KO","")</f>
        <v/>
      </c>
      <c r="D30" s="273">
        <f>IF(A30&lt;&gt;"",""&amp;DATA_RELATIONSHIPS!D27,"")</f>
        <v/>
      </c>
      <c r="E30" s="273">
        <f>IF(A30&lt;&gt;"","KO","")</f>
        <v/>
      </c>
      <c r="F30" s="273">
        <f>IF(A30&lt;&gt;"",""&amp;DATA_RELATIONSHIPS!F27,"")</f>
        <v/>
      </c>
      <c r="G30" s="274">
        <f>IF(A30&lt;&gt;"",DATA_RELATIONSHIPS!G27,"")</f>
        <v/>
      </c>
      <c r="H30" s="274">
        <f>IF(A30&lt;&gt;"",DATA_RELATIONSHIPS!G27,"")</f>
        <v/>
      </c>
      <c r="I30" s="273">
        <f>IF(A30&lt;&gt;"",""&amp;DATA_RELATIONSHIPS!H27,"")</f>
        <v/>
      </c>
      <c r="J30" s="273">
        <f>IF(A30&lt;&gt;"",""&amp;DATA_RELATIONSHIPS!I27,"")</f>
        <v/>
      </c>
    </row>
    <row r="31" ht="15.75" customHeight="1" s="132">
      <c r="A31" s="273">
        <f>IF(DATA_RELATIONSHIPS!B28&lt;&gt;"",""&amp;DATA_RELATIONSHIPS!B28,"")</f>
        <v/>
      </c>
      <c r="B31" s="273">
        <f>IF(A31&lt;&gt;"",""&amp;DATA_RELATIONSHIPS!C28,"")</f>
        <v/>
      </c>
      <c r="C31" s="273">
        <f>IF(A31&lt;&gt;"","KO","")</f>
        <v/>
      </c>
      <c r="D31" s="273">
        <f>IF(A31&lt;&gt;"",""&amp;DATA_RELATIONSHIPS!D28,"")</f>
        <v/>
      </c>
      <c r="E31" s="273">
        <f>IF(A31&lt;&gt;"","KO","")</f>
        <v/>
      </c>
      <c r="F31" s="273">
        <f>IF(A31&lt;&gt;"",""&amp;DATA_RELATIONSHIPS!F28,"")</f>
        <v/>
      </c>
      <c r="G31" s="274">
        <f>IF(A31&lt;&gt;"",DATA_RELATIONSHIPS!G28,"")</f>
        <v/>
      </c>
      <c r="H31" s="274">
        <f>IF(A31&lt;&gt;"",DATA_RELATIONSHIPS!G28,"")</f>
        <v/>
      </c>
      <c r="I31" s="273">
        <f>IF(A31&lt;&gt;"",""&amp;DATA_RELATIONSHIPS!H28,"")</f>
        <v/>
      </c>
      <c r="J31" s="273">
        <f>IF(A31&lt;&gt;"",""&amp;DATA_RELATIONSHIPS!I28,"")</f>
        <v/>
      </c>
    </row>
    <row r="32" ht="15.75" customHeight="1" s="132">
      <c r="A32" s="273">
        <f>IF(DATA_RELATIONSHIPS!B29&lt;&gt;"",""&amp;DATA_RELATIONSHIPS!B29,"")</f>
        <v/>
      </c>
      <c r="B32" s="273">
        <f>IF(A32&lt;&gt;"",""&amp;DATA_RELATIONSHIPS!C29,"")</f>
        <v/>
      </c>
      <c r="C32" s="273">
        <f>IF(A32&lt;&gt;"","KO","")</f>
        <v/>
      </c>
      <c r="D32" s="273">
        <f>IF(A32&lt;&gt;"",""&amp;DATA_RELATIONSHIPS!D29,"")</f>
        <v/>
      </c>
      <c r="E32" s="273">
        <f>IF(A32&lt;&gt;"","KO","")</f>
        <v/>
      </c>
      <c r="F32" s="273">
        <f>IF(A32&lt;&gt;"",""&amp;DATA_RELATIONSHIPS!F29,"")</f>
        <v/>
      </c>
      <c r="G32" s="274">
        <f>IF(A32&lt;&gt;"",DATA_RELATIONSHIPS!G29,"")</f>
        <v/>
      </c>
      <c r="H32" s="274">
        <f>IF(A32&lt;&gt;"",DATA_RELATIONSHIPS!G29,"")</f>
        <v/>
      </c>
      <c r="I32" s="273">
        <f>IF(A32&lt;&gt;"",""&amp;DATA_RELATIONSHIPS!H29,"")</f>
        <v/>
      </c>
      <c r="J32" s="273">
        <f>IF(A32&lt;&gt;"",""&amp;DATA_RELATIONSHIPS!I29,"")</f>
        <v/>
      </c>
    </row>
    <row r="33" ht="15.75" customHeight="1" s="132">
      <c r="A33" s="273">
        <f>IF(DATA_RELATIONSHIPS!B30&lt;&gt;"",""&amp;DATA_RELATIONSHIPS!B30,"")</f>
        <v/>
      </c>
      <c r="B33" s="273">
        <f>IF(A33&lt;&gt;"",""&amp;DATA_RELATIONSHIPS!C30,"")</f>
        <v/>
      </c>
      <c r="C33" s="273">
        <f>IF(A33&lt;&gt;"","KO","")</f>
        <v/>
      </c>
      <c r="D33" s="273">
        <f>IF(A33&lt;&gt;"",""&amp;DATA_RELATIONSHIPS!D30,"")</f>
        <v/>
      </c>
      <c r="E33" s="273">
        <f>IF(A33&lt;&gt;"","KO","")</f>
        <v/>
      </c>
      <c r="F33" s="273">
        <f>IF(A33&lt;&gt;"",""&amp;DATA_RELATIONSHIPS!F30,"")</f>
        <v/>
      </c>
      <c r="G33" s="274">
        <f>IF(A33&lt;&gt;"",DATA_RELATIONSHIPS!G30,"")</f>
        <v/>
      </c>
      <c r="H33" s="274">
        <f>IF(A33&lt;&gt;"",DATA_RELATIONSHIPS!G30,"")</f>
        <v/>
      </c>
      <c r="I33" s="273">
        <f>IF(A33&lt;&gt;"",""&amp;DATA_RELATIONSHIPS!H30,"")</f>
        <v/>
      </c>
      <c r="J33" s="273">
        <f>IF(A33&lt;&gt;"",""&amp;DATA_RELATIONSHIPS!I30,"")</f>
        <v/>
      </c>
    </row>
    <row r="34" ht="15.75" customHeight="1" s="132">
      <c r="A34" s="273">
        <f>IF(DATA_RELATIONSHIPS!B31&lt;&gt;"",""&amp;DATA_RELATIONSHIPS!B31,"")</f>
        <v/>
      </c>
      <c r="B34" s="273">
        <f>IF(A34&lt;&gt;"",""&amp;DATA_RELATIONSHIPS!C31,"")</f>
        <v/>
      </c>
      <c r="C34" s="273">
        <f>IF(A34&lt;&gt;"","KO","")</f>
        <v/>
      </c>
      <c r="D34" s="273">
        <f>IF(A34&lt;&gt;"",""&amp;DATA_RELATIONSHIPS!D31,"")</f>
        <v/>
      </c>
      <c r="E34" s="273">
        <f>IF(A34&lt;&gt;"","KO","")</f>
        <v/>
      </c>
      <c r="F34" s="273">
        <f>IF(A34&lt;&gt;"",""&amp;DATA_RELATIONSHIPS!F31,"")</f>
        <v/>
      </c>
      <c r="G34" s="274">
        <f>IF(A34&lt;&gt;"",DATA_RELATIONSHIPS!G31,"")</f>
        <v/>
      </c>
      <c r="H34" s="274">
        <f>IF(A34&lt;&gt;"",DATA_RELATIONSHIPS!G31,"")</f>
        <v/>
      </c>
      <c r="I34" s="273">
        <f>IF(A34&lt;&gt;"",""&amp;DATA_RELATIONSHIPS!H31,"")</f>
        <v/>
      </c>
      <c r="J34" s="273">
        <f>IF(A34&lt;&gt;"",""&amp;DATA_RELATIONSHIPS!I31,"")</f>
        <v/>
      </c>
    </row>
    <row r="35" ht="15.75" customHeight="1" s="132">
      <c r="A35" s="273">
        <f>IF(DATA_RELATIONSHIPS!B32&lt;&gt;"",""&amp;DATA_RELATIONSHIPS!B32,"")</f>
        <v/>
      </c>
      <c r="B35" s="273">
        <f>IF(A35&lt;&gt;"",""&amp;DATA_RELATIONSHIPS!C32,"")</f>
        <v/>
      </c>
      <c r="C35" s="273">
        <f>IF(A35&lt;&gt;"","KO","")</f>
        <v/>
      </c>
      <c r="D35" s="273">
        <f>IF(A35&lt;&gt;"",""&amp;DATA_RELATIONSHIPS!D32,"")</f>
        <v/>
      </c>
      <c r="E35" s="273">
        <f>IF(A35&lt;&gt;"","KO","")</f>
        <v/>
      </c>
      <c r="F35" s="273">
        <f>IF(A35&lt;&gt;"",""&amp;DATA_RELATIONSHIPS!F32,"")</f>
        <v/>
      </c>
      <c r="G35" s="274">
        <f>IF(A35&lt;&gt;"",DATA_RELATIONSHIPS!G32,"")</f>
        <v/>
      </c>
      <c r="H35" s="274">
        <f>IF(A35&lt;&gt;"",DATA_RELATIONSHIPS!G32,"")</f>
        <v/>
      </c>
      <c r="I35" s="273">
        <f>IF(A35&lt;&gt;"",""&amp;DATA_RELATIONSHIPS!H32,"")</f>
        <v/>
      </c>
      <c r="J35" s="273">
        <f>IF(A35&lt;&gt;"",""&amp;DATA_RELATIONSHIPS!I32,"")</f>
        <v/>
      </c>
    </row>
    <row r="36" ht="15.75" customHeight="1" s="132">
      <c r="A36" s="273">
        <f>IF(DATA_RELATIONSHIPS!B33&lt;&gt;"",""&amp;DATA_RELATIONSHIPS!B33,"")</f>
        <v/>
      </c>
      <c r="B36" s="273">
        <f>IF(A36&lt;&gt;"",""&amp;DATA_RELATIONSHIPS!C33,"")</f>
        <v/>
      </c>
      <c r="C36" s="273">
        <f>IF(A36&lt;&gt;"","KO","")</f>
        <v/>
      </c>
      <c r="D36" s="273">
        <f>IF(A36&lt;&gt;"",""&amp;DATA_RELATIONSHIPS!D33,"")</f>
        <v/>
      </c>
      <c r="E36" s="273">
        <f>IF(A36&lt;&gt;"","KO","")</f>
        <v/>
      </c>
      <c r="F36" s="273">
        <f>IF(A36&lt;&gt;"",""&amp;DATA_RELATIONSHIPS!F33,"")</f>
        <v/>
      </c>
      <c r="G36" s="274">
        <f>IF(A36&lt;&gt;"",DATA_RELATIONSHIPS!G33,"")</f>
        <v/>
      </c>
      <c r="H36" s="274">
        <f>IF(A36&lt;&gt;"",DATA_RELATIONSHIPS!G33,"")</f>
        <v/>
      </c>
      <c r="I36" s="273">
        <f>IF(A36&lt;&gt;"",""&amp;DATA_RELATIONSHIPS!H33,"")</f>
        <v/>
      </c>
      <c r="J36" s="273">
        <f>IF(A36&lt;&gt;"",""&amp;DATA_RELATIONSHIPS!I33,"")</f>
        <v/>
      </c>
    </row>
    <row r="37" ht="15.75" customHeight="1" s="132">
      <c r="A37" s="273">
        <f>IF(DATA_RELATIONSHIPS!B34&lt;&gt;"",""&amp;DATA_RELATIONSHIPS!B34,"")</f>
        <v/>
      </c>
      <c r="B37" s="273">
        <f>IF(A37&lt;&gt;"",""&amp;DATA_RELATIONSHIPS!C34,"")</f>
        <v/>
      </c>
      <c r="C37" s="273">
        <f>IF(A37&lt;&gt;"","KO","")</f>
        <v/>
      </c>
      <c r="D37" s="273">
        <f>IF(A37&lt;&gt;"",""&amp;DATA_RELATIONSHIPS!D34,"")</f>
        <v/>
      </c>
      <c r="E37" s="273">
        <f>IF(A37&lt;&gt;"","KO","")</f>
        <v/>
      </c>
      <c r="F37" s="273">
        <f>IF(A37&lt;&gt;"",""&amp;DATA_RELATIONSHIPS!F34,"")</f>
        <v/>
      </c>
      <c r="G37" s="274">
        <f>IF(A37&lt;&gt;"",DATA_RELATIONSHIPS!G34,"")</f>
        <v/>
      </c>
      <c r="H37" s="274">
        <f>IF(A37&lt;&gt;"",DATA_RELATIONSHIPS!G34,"")</f>
        <v/>
      </c>
      <c r="I37" s="273">
        <f>IF(A37&lt;&gt;"",""&amp;DATA_RELATIONSHIPS!H34,"")</f>
        <v/>
      </c>
      <c r="J37" s="273">
        <f>IF(A37&lt;&gt;"",""&amp;DATA_RELATIONSHIPS!I34,"")</f>
        <v/>
      </c>
    </row>
    <row r="38" ht="15.75" customHeight="1" s="132">
      <c r="A38" s="273">
        <f>IF(DATA_RELATIONSHIPS!B35&lt;&gt;"",""&amp;DATA_RELATIONSHIPS!B35,"")</f>
        <v/>
      </c>
      <c r="B38" s="273">
        <f>IF(A38&lt;&gt;"",""&amp;DATA_RELATIONSHIPS!C35,"")</f>
        <v/>
      </c>
      <c r="C38" s="273">
        <f>IF(A38&lt;&gt;"","KO","")</f>
        <v/>
      </c>
      <c r="D38" s="273">
        <f>IF(A38&lt;&gt;"",""&amp;DATA_RELATIONSHIPS!D35,"")</f>
        <v/>
      </c>
      <c r="E38" s="273">
        <f>IF(A38&lt;&gt;"","KO","")</f>
        <v/>
      </c>
      <c r="F38" s="273">
        <f>IF(A38&lt;&gt;"",""&amp;DATA_RELATIONSHIPS!F35,"")</f>
        <v/>
      </c>
      <c r="G38" s="274">
        <f>IF(A38&lt;&gt;"",DATA_RELATIONSHIPS!G35,"")</f>
        <v/>
      </c>
      <c r="H38" s="274">
        <f>IF(A38&lt;&gt;"",DATA_RELATIONSHIPS!G35,"")</f>
        <v/>
      </c>
      <c r="I38" s="273">
        <f>IF(A38&lt;&gt;"",""&amp;DATA_RELATIONSHIPS!H35,"")</f>
        <v/>
      </c>
      <c r="J38" s="273">
        <f>IF(A38&lt;&gt;"",""&amp;DATA_RELATIONSHIPS!I35,"")</f>
        <v/>
      </c>
    </row>
    <row r="39" ht="15.75" customHeight="1" s="132">
      <c r="A39" s="273">
        <f>IF(DATA_RELATIONSHIPS!B36&lt;&gt;"",""&amp;DATA_RELATIONSHIPS!B36,"")</f>
        <v/>
      </c>
      <c r="B39" s="273">
        <f>IF(A39&lt;&gt;"",""&amp;DATA_RELATIONSHIPS!C36,"")</f>
        <v/>
      </c>
      <c r="C39" s="273">
        <f>IF(A39&lt;&gt;"","KO","")</f>
        <v/>
      </c>
      <c r="D39" s="273">
        <f>IF(A39&lt;&gt;"",""&amp;DATA_RELATIONSHIPS!D36,"")</f>
        <v/>
      </c>
      <c r="E39" s="273">
        <f>IF(A39&lt;&gt;"","KO","")</f>
        <v/>
      </c>
      <c r="F39" s="273">
        <f>IF(A39&lt;&gt;"",""&amp;DATA_RELATIONSHIPS!F36,"")</f>
        <v/>
      </c>
      <c r="G39" s="274">
        <f>IF(A39&lt;&gt;"",DATA_RELATIONSHIPS!G36,"")</f>
        <v/>
      </c>
      <c r="H39" s="274">
        <f>IF(A39&lt;&gt;"",DATA_RELATIONSHIPS!G36,"")</f>
        <v/>
      </c>
      <c r="I39" s="273">
        <f>IF(A39&lt;&gt;"",""&amp;DATA_RELATIONSHIPS!H36,"")</f>
        <v/>
      </c>
      <c r="J39" s="273">
        <f>IF(A39&lt;&gt;"",""&amp;DATA_RELATIONSHIPS!I36,"")</f>
        <v/>
      </c>
    </row>
    <row r="40" ht="15.75" customHeight="1" s="132">
      <c r="A40" s="273">
        <f>IF(DATA_RELATIONSHIPS!B37&lt;&gt;"",""&amp;DATA_RELATIONSHIPS!B37,"")</f>
        <v/>
      </c>
      <c r="B40" s="273">
        <f>IF(A40&lt;&gt;"",""&amp;DATA_RELATIONSHIPS!C37,"")</f>
        <v/>
      </c>
      <c r="C40" s="273">
        <f>IF(A40&lt;&gt;"","KO","")</f>
        <v/>
      </c>
      <c r="D40" s="273">
        <f>IF(A40&lt;&gt;"",""&amp;DATA_RELATIONSHIPS!D37,"")</f>
        <v/>
      </c>
      <c r="E40" s="273">
        <f>IF(A40&lt;&gt;"","KO","")</f>
        <v/>
      </c>
      <c r="F40" s="273">
        <f>IF(A40&lt;&gt;"",""&amp;DATA_RELATIONSHIPS!F37,"")</f>
        <v/>
      </c>
      <c r="G40" s="274">
        <f>IF(A40&lt;&gt;"",DATA_RELATIONSHIPS!G37,"")</f>
        <v/>
      </c>
      <c r="H40" s="274">
        <f>IF(A40&lt;&gt;"",DATA_RELATIONSHIPS!G37,"")</f>
        <v/>
      </c>
      <c r="I40" s="273">
        <f>IF(A40&lt;&gt;"",""&amp;DATA_RELATIONSHIPS!H37,"")</f>
        <v/>
      </c>
      <c r="J40" s="273">
        <f>IF(A40&lt;&gt;"",""&amp;DATA_RELATIONSHIPS!I37,"")</f>
        <v/>
      </c>
    </row>
    <row r="41" ht="15.75" customHeight="1" s="132">
      <c r="A41" s="273">
        <f>IF(DATA_RELATIONSHIPS!B38&lt;&gt;"",""&amp;DATA_RELATIONSHIPS!B38,"")</f>
        <v/>
      </c>
      <c r="B41" s="273">
        <f>IF(A41&lt;&gt;"",""&amp;DATA_RELATIONSHIPS!C38,"")</f>
        <v/>
      </c>
      <c r="C41" s="273">
        <f>IF(A41&lt;&gt;"","KO","")</f>
        <v/>
      </c>
      <c r="D41" s="273">
        <f>IF(A41&lt;&gt;"",""&amp;DATA_RELATIONSHIPS!D38,"")</f>
        <v/>
      </c>
      <c r="E41" s="273">
        <f>IF(A41&lt;&gt;"","KO","")</f>
        <v/>
      </c>
      <c r="F41" s="273">
        <f>IF(A41&lt;&gt;"",""&amp;DATA_RELATIONSHIPS!F38,"")</f>
        <v/>
      </c>
      <c r="G41" s="274">
        <f>IF(A41&lt;&gt;"",DATA_RELATIONSHIPS!G38,"")</f>
        <v/>
      </c>
      <c r="H41" s="274">
        <f>IF(A41&lt;&gt;"",DATA_RELATIONSHIPS!G38,"")</f>
        <v/>
      </c>
      <c r="I41" s="273">
        <f>IF(A41&lt;&gt;"",""&amp;DATA_RELATIONSHIPS!H38,"")</f>
        <v/>
      </c>
      <c r="J41" s="273">
        <f>IF(A41&lt;&gt;"",""&amp;DATA_RELATIONSHIPS!I38,"")</f>
        <v/>
      </c>
    </row>
    <row r="42" ht="15.75" customHeight="1" s="132">
      <c r="A42" s="273">
        <f>IF(DATA_RELATIONSHIPS!B39&lt;&gt;"",""&amp;DATA_RELATIONSHIPS!B39,"")</f>
        <v/>
      </c>
      <c r="B42" s="273">
        <f>IF(A42&lt;&gt;"",""&amp;DATA_RELATIONSHIPS!C39,"")</f>
        <v/>
      </c>
      <c r="C42" s="273">
        <f>IF(A42&lt;&gt;"","KO","")</f>
        <v/>
      </c>
      <c r="D42" s="273">
        <f>IF(A42&lt;&gt;"",""&amp;DATA_RELATIONSHIPS!D39,"")</f>
        <v/>
      </c>
      <c r="E42" s="273">
        <f>IF(A42&lt;&gt;"","KO","")</f>
        <v/>
      </c>
      <c r="F42" s="273">
        <f>IF(A42&lt;&gt;"",""&amp;DATA_RELATIONSHIPS!F39,"")</f>
        <v/>
      </c>
      <c r="G42" s="274">
        <f>IF(A42&lt;&gt;"",DATA_RELATIONSHIPS!G39,"")</f>
        <v/>
      </c>
      <c r="H42" s="274">
        <f>IF(A42&lt;&gt;"",DATA_RELATIONSHIPS!G39,"")</f>
        <v/>
      </c>
      <c r="I42" s="273">
        <f>IF(A42&lt;&gt;"",""&amp;DATA_RELATIONSHIPS!H39,"")</f>
        <v/>
      </c>
      <c r="J42" s="273">
        <f>IF(A42&lt;&gt;"",""&amp;DATA_RELATIONSHIPS!I39,"")</f>
        <v/>
      </c>
    </row>
    <row r="43" ht="15.75" customHeight="1" s="132">
      <c r="A43" s="273">
        <f>IF(DATA_RELATIONSHIPS!B40&lt;&gt;"",""&amp;DATA_RELATIONSHIPS!B40,"")</f>
        <v/>
      </c>
      <c r="B43" s="273">
        <f>IF(A43&lt;&gt;"",""&amp;DATA_RELATIONSHIPS!C40,"")</f>
        <v/>
      </c>
      <c r="C43" s="273">
        <f>IF(A43&lt;&gt;"","KO","")</f>
        <v/>
      </c>
      <c r="D43" s="273">
        <f>IF(A43&lt;&gt;"",""&amp;DATA_RELATIONSHIPS!D40,"")</f>
        <v/>
      </c>
      <c r="E43" s="273">
        <f>IF(A43&lt;&gt;"","KO","")</f>
        <v/>
      </c>
      <c r="F43" s="273">
        <f>IF(A43&lt;&gt;"",""&amp;DATA_RELATIONSHIPS!F40,"")</f>
        <v/>
      </c>
      <c r="G43" s="274">
        <f>IF(A43&lt;&gt;"",DATA_RELATIONSHIPS!G40,"")</f>
        <v/>
      </c>
      <c r="H43" s="274">
        <f>IF(A43&lt;&gt;"",DATA_RELATIONSHIPS!G40,"")</f>
        <v/>
      </c>
      <c r="I43" s="273">
        <f>IF(A43&lt;&gt;"",""&amp;DATA_RELATIONSHIPS!H40,"")</f>
        <v/>
      </c>
      <c r="J43" s="273">
        <f>IF(A43&lt;&gt;"",""&amp;DATA_RELATIONSHIPS!I40,"")</f>
        <v/>
      </c>
    </row>
    <row r="44" ht="15.75" customHeight="1" s="132">
      <c r="A44" s="273">
        <f>IF(DATA_RELATIONSHIPS!B41&lt;&gt;"",""&amp;DATA_RELATIONSHIPS!B41,"")</f>
        <v/>
      </c>
      <c r="B44" s="273">
        <f>IF(A44&lt;&gt;"",""&amp;DATA_RELATIONSHIPS!C41,"")</f>
        <v/>
      </c>
      <c r="C44" s="273">
        <f>IF(A44&lt;&gt;"","KO","")</f>
        <v/>
      </c>
      <c r="D44" s="273">
        <f>IF(A44&lt;&gt;"",""&amp;DATA_RELATIONSHIPS!D41,"")</f>
        <v/>
      </c>
      <c r="E44" s="273">
        <f>IF(A44&lt;&gt;"","KO","")</f>
        <v/>
      </c>
      <c r="F44" s="273">
        <f>IF(A44&lt;&gt;"",""&amp;DATA_RELATIONSHIPS!F41,"")</f>
        <v/>
      </c>
      <c r="G44" s="274">
        <f>IF(A44&lt;&gt;"",DATA_RELATIONSHIPS!G41,"")</f>
        <v/>
      </c>
      <c r="H44" s="274">
        <f>IF(A44&lt;&gt;"",DATA_RELATIONSHIPS!G41,"")</f>
        <v/>
      </c>
      <c r="I44" s="273">
        <f>IF(A44&lt;&gt;"",""&amp;DATA_RELATIONSHIPS!H41,"")</f>
        <v/>
      </c>
      <c r="J44" s="273">
        <f>IF(A44&lt;&gt;"",""&amp;DATA_RELATIONSHIPS!I41,"")</f>
        <v/>
      </c>
    </row>
    <row r="45" ht="15.75" customHeight="1" s="132">
      <c r="A45" s="273">
        <f>IF(DATA_RELATIONSHIPS!B42&lt;&gt;"",""&amp;DATA_RELATIONSHIPS!B42,"")</f>
        <v/>
      </c>
      <c r="B45" s="273">
        <f>IF(A45&lt;&gt;"",""&amp;DATA_RELATIONSHIPS!C42,"")</f>
        <v/>
      </c>
      <c r="C45" s="273">
        <f>IF(A45&lt;&gt;"","KO","")</f>
        <v/>
      </c>
      <c r="D45" s="273">
        <f>IF(A45&lt;&gt;"",""&amp;DATA_RELATIONSHIPS!D42,"")</f>
        <v/>
      </c>
      <c r="E45" s="273">
        <f>IF(A45&lt;&gt;"","KO","")</f>
        <v/>
      </c>
      <c r="F45" s="273">
        <f>IF(A45&lt;&gt;"",""&amp;DATA_RELATIONSHIPS!F42,"")</f>
        <v/>
      </c>
      <c r="G45" s="274">
        <f>IF(A45&lt;&gt;"",DATA_RELATIONSHIPS!G42,"")</f>
        <v/>
      </c>
      <c r="H45" s="274">
        <f>IF(A45&lt;&gt;"",DATA_RELATIONSHIPS!G42,"")</f>
        <v/>
      </c>
      <c r="I45" s="273">
        <f>IF(A45&lt;&gt;"",""&amp;DATA_RELATIONSHIPS!H42,"")</f>
        <v/>
      </c>
      <c r="J45" s="273">
        <f>IF(A45&lt;&gt;"",""&amp;DATA_RELATIONSHIPS!I42,"")</f>
        <v/>
      </c>
    </row>
    <row r="46" ht="15.75" customHeight="1" s="132">
      <c r="A46" s="273">
        <f>IF(DATA_RELATIONSHIPS!B43&lt;&gt;"",""&amp;DATA_RELATIONSHIPS!B43,"")</f>
        <v/>
      </c>
      <c r="B46" s="273">
        <f>IF(A46&lt;&gt;"",""&amp;DATA_RELATIONSHIPS!C43,"")</f>
        <v/>
      </c>
      <c r="C46" s="273">
        <f>IF(A46&lt;&gt;"","KO","")</f>
        <v/>
      </c>
      <c r="D46" s="273">
        <f>IF(A46&lt;&gt;"",""&amp;DATA_RELATIONSHIPS!D43,"")</f>
        <v/>
      </c>
      <c r="E46" s="273">
        <f>IF(A46&lt;&gt;"","KO","")</f>
        <v/>
      </c>
      <c r="F46" s="273">
        <f>IF(A46&lt;&gt;"",""&amp;DATA_RELATIONSHIPS!F43,"")</f>
        <v/>
      </c>
      <c r="G46" s="274">
        <f>IF(A46&lt;&gt;"",DATA_RELATIONSHIPS!G43,"")</f>
        <v/>
      </c>
      <c r="H46" s="274">
        <f>IF(A46&lt;&gt;"",DATA_RELATIONSHIPS!G43,"")</f>
        <v/>
      </c>
      <c r="I46" s="273">
        <f>IF(A46&lt;&gt;"",""&amp;DATA_RELATIONSHIPS!H43,"")</f>
        <v/>
      </c>
      <c r="J46" s="273">
        <f>IF(A46&lt;&gt;"",""&amp;DATA_RELATIONSHIPS!I43,"")</f>
        <v/>
      </c>
    </row>
    <row r="47" ht="15.75" customHeight="1" s="132">
      <c r="A47" s="273">
        <f>IF(DATA_RELATIONSHIPS!B44&lt;&gt;"",""&amp;DATA_RELATIONSHIPS!B44,"")</f>
        <v/>
      </c>
      <c r="B47" s="273">
        <f>IF(A47&lt;&gt;"",""&amp;DATA_RELATIONSHIPS!C44,"")</f>
        <v/>
      </c>
      <c r="C47" s="273">
        <f>IF(A47&lt;&gt;"","KO","")</f>
        <v/>
      </c>
      <c r="D47" s="273">
        <f>IF(A47&lt;&gt;"",""&amp;DATA_RELATIONSHIPS!D44,"")</f>
        <v/>
      </c>
      <c r="E47" s="273">
        <f>IF(A47&lt;&gt;"","KO","")</f>
        <v/>
      </c>
      <c r="F47" s="273">
        <f>IF(A47&lt;&gt;"",""&amp;DATA_RELATIONSHIPS!F44,"")</f>
        <v/>
      </c>
      <c r="G47" s="274">
        <f>IF(A47&lt;&gt;"",DATA_RELATIONSHIPS!G44,"")</f>
        <v/>
      </c>
      <c r="H47" s="274">
        <f>IF(A47&lt;&gt;"",DATA_RELATIONSHIPS!G44,"")</f>
        <v/>
      </c>
      <c r="I47" s="273">
        <f>IF(A47&lt;&gt;"",""&amp;DATA_RELATIONSHIPS!H44,"")</f>
        <v/>
      </c>
      <c r="J47" s="273">
        <f>IF(A47&lt;&gt;"",""&amp;DATA_RELATIONSHIPS!I44,"")</f>
        <v/>
      </c>
    </row>
    <row r="48" ht="15.75" customHeight="1" s="132">
      <c r="A48" s="273">
        <f>IF(DATA_RELATIONSHIPS!B45&lt;&gt;"",""&amp;DATA_RELATIONSHIPS!B45,"")</f>
        <v/>
      </c>
      <c r="B48" s="273">
        <f>IF(A48&lt;&gt;"",""&amp;DATA_RELATIONSHIPS!C45,"")</f>
        <v/>
      </c>
      <c r="C48" s="273">
        <f>IF(A48&lt;&gt;"","KO","")</f>
        <v/>
      </c>
      <c r="D48" s="273">
        <f>IF(A48&lt;&gt;"",""&amp;DATA_RELATIONSHIPS!D45,"")</f>
        <v/>
      </c>
      <c r="E48" s="273">
        <f>IF(A48&lt;&gt;"","KO","")</f>
        <v/>
      </c>
      <c r="F48" s="273">
        <f>IF(A48&lt;&gt;"",""&amp;DATA_RELATIONSHIPS!F45,"")</f>
        <v/>
      </c>
      <c r="G48" s="274">
        <f>IF(A48&lt;&gt;"",DATA_RELATIONSHIPS!G45,"")</f>
        <v/>
      </c>
      <c r="H48" s="274">
        <f>IF(A48&lt;&gt;"",DATA_RELATIONSHIPS!G45,"")</f>
        <v/>
      </c>
      <c r="I48" s="273">
        <f>IF(A48&lt;&gt;"",""&amp;DATA_RELATIONSHIPS!H45,"")</f>
        <v/>
      </c>
      <c r="J48" s="273">
        <f>IF(A48&lt;&gt;"",""&amp;DATA_RELATIONSHIPS!I45,"")</f>
        <v/>
      </c>
    </row>
    <row r="49" ht="15.75" customHeight="1" s="132">
      <c r="A49" s="273">
        <f>IF(DATA_RELATIONSHIPS!B46&lt;&gt;"",""&amp;DATA_RELATIONSHIPS!B46,"")</f>
        <v/>
      </c>
      <c r="B49" s="273">
        <f>IF(A49&lt;&gt;"",""&amp;DATA_RELATIONSHIPS!C46,"")</f>
        <v/>
      </c>
      <c r="C49" s="273">
        <f>IF(A49&lt;&gt;"","KO","")</f>
        <v/>
      </c>
      <c r="D49" s="273">
        <f>IF(A49&lt;&gt;"",""&amp;DATA_RELATIONSHIPS!D46,"")</f>
        <v/>
      </c>
      <c r="E49" s="273">
        <f>IF(A49&lt;&gt;"","KO","")</f>
        <v/>
      </c>
      <c r="F49" s="273">
        <f>IF(A49&lt;&gt;"",""&amp;DATA_RELATIONSHIPS!F46,"")</f>
        <v/>
      </c>
      <c r="G49" s="274">
        <f>IF(A49&lt;&gt;"",DATA_RELATIONSHIPS!G46,"")</f>
        <v/>
      </c>
      <c r="H49" s="274">
        <f>IF(A49&lt;&gt;"",DATA_RELATIONSHIPS!G46,"")</f>
        <v/>
      </c>
      <c r="I49" s="273">
        <f>IF(A49&lt;&gt;"",""&amp;DATA_RELATIONSHIPS!H46,"")</f>
        <v/>
      </c>
      <c r="J49" s="273">
        <f>IF(A49&lt;&gt;"",""&amp;DATA_RELATIONSHIPS!I46,"")</f>
        <v/>
      </c>
    </row>
    <row r="50" ht="15.75" customHeight="1" s="132">
      <c r="A50" s="273">
        <f>IF(DATA_RELATIONSHIPS!B47&lt;&gt;"",""&amp;DATA_RELATIONSHIPS!B47,"")</f>
        <v/>
      </c>
      <c r="B50" s="273">
        <f>IF(A50&lt;&gt;"",""&amp;DATA_RELATIONSHIPS!C47,"")</f>
        <v/>
      </c>
      <c r="C50" s="273">
        <f>IF(A50&lt;&gt;"","KO","")</f>
        <v/>
      </c>
      <c r="D50" s="273">
        <f>IF(A50&lt;&gt;"",""&amp;DATA_RELATIONSHIPS!D47,"")</f>
        <v/>
      </c>
      <c r="E50" s="273">
        <f>IF(A50&lt;&gt;"","KO","")</f>
        <v/>
      </c>
      <c r="F50" s="273">
        <f>IF(A50&lt;&gt;"",""&amp;DATA_RELATIONSHIPS!F47,"")</f>
        <v/>
      </c>
      <c r="G50" s="274">
        <f>IF(A50&lt;&gt;"",DATA_RELATIONSHIPS!G47,"")</f>
        <v/>
      </c>
      <c r="H50" s="274">
        <f>IF(A50&lt;&gt;"",DATA_RELATIONSHIPS!G47,"")</f>
        <v/>
      </c>
      <c r="I50" s="273">
        <f>IF(A50&lt;&gt;"",""&amp;DATA_RELATIONSHIPS!H47,"")</f>
        <v/>
      </c>
      <c r="J50" s="273">
        <f>IF(A50&lt;&gt;"",""&amp;DATA_RELATIONSHIPS!I47,"")</f>
        <v/>
      </c>
    </row>
    <row r="51" ht="15.75" customHeight="1" s="132">
      <c r="A51" s="273">
        <f>IF(DATA_RELATIONSHIPS!B48&lt;&gt;"",""&amp;DATA_RELATIONSHIPS!B48,"")</f>
        <v/>
      </c>
      <c r="B51" s="273">
        <f>IF(A51&lt;&gt;"",""&amp;DATA_RELATIONSHIPS!C48,"")</f>
        <v/>
      </c>
      <c r="C51" s="273">
        <f>IF(A51&lt;&gt;"","KO","")</f>
        <v/>
      </c>
      <c r="D51" s="273">
        <f>IF(A51&lt;&gt;"",""&amp;DATA_RELATIONSHIPS!D48,"")</f>
        <v/>
      </c>
      <c r="E51" s="273">
        <f>IF(A51&lt;&gt;"","KO","")</f>
        <v/>
      </c>
      <c r="F51" s="273">
        <f>IF(A51&lt;&gt;"",""&amp;DATA_RELATIONSHIPS!F48,"")</f>
        <v/>
      </c>
      <c r="G51" s="274">
        <f>IF(A51&lt;&gt;"",DATA_RELATIONSHIPS!G48,"")</f>
        <v/>
      </c>
      <c r="H51" s="274">
        <f>IF(A51&lt;&gt;"",DATA_RELATIONSHIPS!G48,"")</f>
        <v/>
      </c>
      <c r="I51" s="273">
        <f>IF(A51&lt;&gt;"",""&amp;DATA_RELATIONSHIPS!H48,"")</f>
        <v/>
      </c>
      <c r="J51" s="273">
        <f>IF(A51&lt;&gt;"",""&amp;DATA_RELATIONSHIPS!I48,"")</f>
        <v/>
      </c>
    </row>
    <row r="52" ht="15.75" customHeight="1" s="132">
      <c r="A52" s="273">
        <f>IF(DATA_RELATIONSHIPS!B49&lt;&gt;"",""&amp;DATA_RELATIONSHIPS!B49,"")</f>
        <v/>
      </c>
      <c r="B52" s="273">
        <f>IF(A52&lt;&gt;"",""&amp;DATA_RELATIONSHIPS!C49,"")</f>
        <v/>
      </c>
      <c r="C52" s="273">
        <f>IF(A52&lt;&gt;"","KO","")</f>
        <v/>
      </c>
      <c r="D52" s="273">
        <f>IF(A52&lt;&gt;"",""&amp;DATA_RELATIONSHIPS!D49,"")</f>
        <v/>
      </c>
      <c r="E52" s="273">
        <f>IF(A52&lt;&gt;"","KO","")</f>
        <v/>
      </c>
      <c r="F52" s="273">
        <f>IF(A52&lt;&gt;"",""&amp;DATA_RELATIONSHIPS!F49,"")</f>
        <v/>
      </c>
      <c r="G52" s="274">
        <f>IF(A52&lt;&gt;"",DATA_RELATIONSHIPS!G49,"")</f>
        <v/>
      </c>
      <c r="H52" s="274">
        <f>IF(A52&lt;&gt;"",DATA_RELATIONSHIPS!G49,"")</f>
        <v/>
      </c>
      <c r="I52" s="273">
        <f>IF(A52&lt;&gt;"",""&amp;DATA_RELATIONSHIPS!H49,"")</f>
        <v/>
      </c>
      <c r="J52" s="273">
        <f>IF(A52&lt;&gt;"",""&amp;DATA_RELATIONSHIPS!I49,"")</f>
        <v/>
      </c>
    </row>
    <row r="53" ht="15.75" customHeight="1" s="132">
      <c r="A53" s="273">
        <f>IF(DATA_RELATIONSHIPS!B50&lt;&gt;"",""&amp;DATA_RELATIONSHIPS!B50,"")</f>
        <v/>
      </c>
      <c r="B53" s="273">
        <f>IF(A53&lt;&gt;"",""&amp;DATA_RELATIONSHIPS!C50,"")</f>
        <v/>
      </c>
      <c r="C53" s="273">
        <f>IF(A53&lt;&gt;"","KO","")</f>
        <v/>
      </c>
      <c r="D53" s="273">
        <f>IF(A53&lt;&gt;"",""&amp;DATA_RELATIONSHIPS!D50,"")</f>
        <v/>
      </c>
      <c r="E53" s="273">
        <f>IF(A53&lt;&gt;"","KO","")</f>
        <v/>
      </c>
      <c r="F53" s="273">
        <f>IF(A53&lt;&gt;"",""&amp;DATA_RELATIONSHIPS!F50,"")</f>
        <v/>
      </c>
      <c r="G53" s="274">
        <f>IF(A53&lt;&gt;"",DATA_RELATIONSHIPS!G50,"")</f>
        <v/>
      </c>
      <c r="H53" s="274">
        <f>IF(A53&lt;&gt;"",DATA_RELATIONSHIPS!G50,"")</f>
        <v/>
      </c>
      <c r="I53" s="273">
        <f>IF(A53&lt;&gt;"",""&amp;DATA_RELATIONSHIPS!H50,"")</f>
        <v/>
      </c>
      <c r="J53" s="273">
        <f>IF(A53&lt;&gt;"",""&amp;DATA_RELATIONSHIPS!I50,"")</f>
        <v/>
      </c>
    </row>
    <row r="54" ht="15.75" customHeight="1" s="132">
      <c r="A54" s="273">
        <f>IF(DATA_RELATIONSHIPS!B51&lt;&gt;"",""&amp;DATA_RELATIONSHIPS!B51,"")</f>
        <v/>
      </c>
      <c r="B54" s="273">
        <f>IF(A54&lt;&gt;"",""&amp;DATA_RELATIONSHIPS!C51,"")</f>
        <v/>
      </c>
      <c r="C54" s="273">
        <f>IF(A54&lt;&gt;"","KO","")</f>
        <v/>
      </c>
      <c r="D54" s="273">
        <f>IF(A54&lt;&gt;"",""&amp;DATA_RELATIONSHIPS!D51,"")</f>
        <v/>
      </c>
      <c r="E54" s="273">
        <f>IF(A54&lt;&gt;"","KO","")</f>
        <v/>
      </c>
      <c r="F54" s="273">
        <f>IF(A54&lt;&gt;"",""&amp;DATA_RELATIONSHIPS!F51,"")</f>
        <v/>
      </c>
      <c r="G54" s="274">
        <f>IF(A54&lt;&gt;"",DATA_RELATIONSHIPS!G51,"")</f>
        <v/>
      </c>
      <c r="H54" s="274">
        <f>IF(A54&lt;&gt;"",DATA_RELATIONSHIPS!G51,"")</f>
        <v/>
      </c>
      <c r="I54" s="273">
        <f>IF(A54&lt;&gt;"",""&amp;DATA_RELATIONSHIPS!H51,"")</f>
        <v/>
      </c>
      <c r="J54" s="273">
        <f>IF(A54&lt;&gt;"",""&amp;DATA_RELATIONSHIPS!I51,"")</f>
        <v/>
      </c>
    </row>
    <row r="55" ht="15.75" customHeight="1" s="132">
      <c r="A55" s="273">
        <f>IF(DATA_RELATIONSHIPS!B52&lt;&gt;"",""&amp;DATA_RELATIONSHIPS!B52,"")</f>
        <v/>
      </c>
      <c r="B55" s="273">
        <f>IF(A55&lt;&gt;"",""&amp;DATA_RELATIONSHIPS!C52,"")</f>
        <v/>
      </c>
      <c r="C55" s="273">
        <f>IF(A55&lt;&gt;"","KO","")</f>
        <v/>
      </c>
      <c r="D55" s="273">
        <f>IF(A55&lt;&gt;"",""&amp;DATA_RELATIONSHIPS!D52,"")</f>
        <v/>
      </c>
      <c r="E55" s="273">
        <f>IF(A55&lt;&gt;"","KO","")</f>
        <v/>
      </c>
      <c r="F55" s="273">
        <f>IF(A55&lt;&gt;"",""&amp;DATA_RELATIONSHIPS!F52,"")</f>
        <v/>
      </c>
      <c r="G55" s="274">
        <f>IF(A55&lt;&gt;"",DATA_RELATIONSHIPS!G52,"")</f>
        <v/>
      </c>
      <c r="H55" s="274">
        <f>IF(A55&lt;&gt;"",DATA_RELATIONSHIPS!G52,"")</f>
        <v/>
      </c>
      <c r="I55" s="273">
        <f>IF(A55&lt;&gt;"",""&amp;DATA_RELATIONSHIPS!H52,"")</f>
        <v/>
      </c>
      <c r="J55" s="273">
        <f>IF(A55&lt;&gt;"",""&amp;DATA_RELATIONSHIPS!I52,"")</f>
        <v/>
      </c>
    </row>
    <row r="56" ht="15.75" customHeight="1" s="132">
      <c r="A56" s="273">
        <f>IF(DATA_RELATIONSHIPS!B53&lt;&gt;"",""&amp;DATA_RELATIONSHIPS!B53,"")</f>
        <v/>
      </c>
      <c r="B56" s="273">
        <f>IF(A56&lt;&gt;"",""&amp;DATA_RELATIONSHIPS!C53,"")</f>
        <v/>
      </c>
      <c r="C56" s="273">
        <f>IF(A56&lt;&gt;"","KO","")</f>
        <v/>
      </c>
      <c r="D56" s="273">
        <f>IF(A56&lt;&gt;"",""&amp;DATA_RELATIONSHIPS!D53,"")</f>
        <v/>
      </c>
      <c r="E56" s="273">
        <f>IF(A56&lt;&gt;"","KO","")</f>
        <v/>
      </c>
      <c r="F56" s="273">
        <f>IF(A56&lt;&gt;"",""&amp;DATA_RELATIONSHIPS!F53,"")</f>
        <v/>
      </c>
      <c r="G56" s="274">
        <f>IF(A56&lt;&gt;"",DATA_RELATIONSHIPS!G53,"")</f>
        <v/>
      </c>
      <c r="H56" s="274">
        <f>IF(A56&lt;&gt;"",DATA_RELATIONSHIPS!G53,"")</f>
        <v/>
      </c>
      <c r="I56" s="273">
        <f>IF(A56&lt;&gt;"",""&amp;DATA_RELATIONSHIPS!H53,"")</f>
        <v/>
      </c>
      <c r="J56" s="273">
        <f>IF(A56&lt;&gt;"",""&amp;DATA_RELATIONSHIPS!I53,"")</f>
        <v/>
      </c>
    </row>
    <row r="57" ht="15.75" customHeight="1" s="132">
      <c r="A57" s="273">
        <f>IF(DATA_RELATIONSHIPS!B54&lt;&gt;"",""&amp;DATA_RELATIONSHIPS!B54,"")</f>
        <v/>
      </c>
      <c r="B57" s="273">
        <f>IF(A57&lt;&gt;"",""&amp;DATA_RELATIONSHIPS!C54,"")</f>
        <v/>
      </c>
      <c r="C57" s="273">
        <f>IF(A57&lt;&gt;"","KO","")</f>
        <v/>
      </c>
      <c r="D57" s="273">
        <f>IF(A57&lt;&gt;"",""&amp;DATA_RELATIONSHIPS!D54,"")</f>
        <v/>
      </c>
      <c r="E57" s="273">
        <f>IF(A57&lt;&gt;"","KO","")</f>
        <v/>
      </c>
      <c r="F57" s="273">
        <f>IF(A57&lt;&gt;"",""&amp;DATA_RELATIONSHIPS!F54,"")</f>
        <v/>
      </c>
      <c r="G57" s="274">
        <f>IF(A57&lt;&gt;"",DATA_RELATIONSHIPS!G54,"")</f>
        <v/>
      </c>
      <c r="H57" s="274">
        <f>IF(A57&lt;&gt;"",DATA_RELATIONSHIPS!G54,"")</f>
        <v/>
      </c>
      <c r="I57" s="273">
        <f>IF(A57&lt;&gt;"",""&amp;DATA_RELATIONSHIPS!H54,"")</f>
        <v/>
      </c>
      <c r="J57" s="273">
        <f>IF(A57&lt;&gt;"",""&amp;DATA_RELATIONSHIPS!I54,"")</f>
        <v/>
      </c>
    </row>
    <row r="58" ht="15.75" customHeight="1" s="132">
      <c r="A58" s="273">
        <f>IF(DATA_RELATIONSHIPS!B55&lt;&gt;"",""&amp;DATA_RELATIONSHIPS!B55,"")</f>
        <v/>
      </c>
      <c r="B58" s="273">
        <f>IF(A58&lt;&gt;"",""&amp;DATA_RELATIONSHIPS!C55,"")</f>
        <v/>
      </c>
      <c r="C58" s="273">
        <f>IF(A58&lt;&gt;"","KO","")</f>
        <v/>
      </c>
      <c r="D58" s="273">
        <f>IF(A58&lt;&gt;"",""&amp;DATA_RELATIONSHIPS!D55,"")</f>
        <v/>
      </c>
      <c r="E58" s="273">
        <f>IF(A58&lt;&gt;"","KO","")</f>
        <v/>
      </c>
      <c r="F58" s="273">
        <f>IF(A58&lt;&gt;"",""&amp;DATA_RELATIONSHIPS!F55,"")</f>
        <v/>
      </c>
      <c r="G58" s="274">
        <f>IF(A58&lt;&gt;"",DATA_RELATIONSHIPS!G55,"")</f>
        <v/>
      </c>
      <c r="H58" s="274">
        <f>IF(A58&lt;&gt;"",DATA_RELATIONSHIPS!G55,"")</f>
        <v/>
      </c>
      <c r="I58" s="273">
        <f>IF(A58&lt;&gt;"",""&amp;DATA_RELATIONSHIPS!H55,"")</f>
        <v/>
      </c>
      <c r="J58" s="273">
        <f>IF(A58&lt;&gt;"",""&amp;DATA_RELATIONSHIPS!I55,"")</f>
        <v/>
      </c>
    </row>
    <row r="59" ht="15.75" customHeight="1" s="132">
      <c r="A59" s="273">
        <f>IF(DATA_RELATIONSHIPS!B56&lt;&gt;"",""&amp;DATA_RELATIONSHIPS!B56,"")</f>
        <v/>
      </c>
      <c r="B59" s="273">
        <f>IF(A59&lt;&gt;"",""&amp;DATA_RELATIONSHIPS!C56,"")</f>
        <v/>
      </c>
      <c r="C59" s="273">
        <f>IF(A59&lt;&gt;"","KO","")</f>
        <v/>
      </c>
      <c r="D59" s="273">
        <f>IF(A59&lt;&gt;"",""&amp;DATA_RELATIONSHIPS!D56,"")</f>
        <v/>
      </c>
      <c r="E59" s="273">
        <f>IF(A59&lt;&gt;"","KO","")</f>
        <v/>
      </c>
      <c r="F59" s="273">
        <f>IF(A59&lt;&gt;"",""&amp;DATA_RELATIONSHIPS!F56,"")</f>
        <v/>
      </c>
      <c r="G59" s="274">
        <f>IF(A59&lt;&gt;"",DATA_RELATIONSHIPS!G56,"")</f>
        <v/>
      </c>
      <c r="H59" s="274">
        <f>IF(A59&lt;&gt;"",DATA_RELATIONSHIPS!G56,"")</f>
        <v/>
      </c>
      <c r="I59" s="273">
        <f>IF(A59&lt;&gt;"",""&amp;DATA_RELATIONSHIPS!H56,"")</f>
        <v/>
      </c>
      <c r="J59" s="273">
        <f>IF(A59&lt;&gt;"",""&amp;DATA_RELATIONSHIPS!I56,"")</f>
        <v/>
      </c>
    </row>
    <row r="60" ht="15.75" customHeight="1" s="132">
      <c r="A60" s="273">
        <f>IF(DATA_RELATIONSHIPS!B57&lt;&gt;"",""&amp;DATA_RELATIONSHIPS!B57,"")</f>
        <v/>
      </c>
      <c r="B60" s="273">
        <f>IF(A60&lt;&gt;"",""&amp;DATA_RELATIONSHIPS!C57,"")</f>
        <v/>
      </c>
      <c r="C60" s="273">
        <f>IF(A60&lt;&gt;"","KO","")</f>
        <v/>
      </c>
      <c r="D60" s="273">
        <f>IF(A60&lt;&gt;"",""&amp;DATA_RELATIONSHIPS!D57,"")</f>
        <v/>
      </c>
      <c r="E60" s="273">
        <f>IF(A60&lt;&gt;"","KO","")</f>
        <v/>
      </c>
      <c r="F60" s="273">
        <f>IF(A60&lt;&gt;"",""&amp;DATA_RELATIONSHIPS!F57,"")</f>
        <v/>
      </c>
      <c r="G60" s="274">
        <f>IF(A60&lt;&gt;"",DATA_RELATIONSHIPS!G57,"")</f>
        <v/>
      </c>
      <c r="H60" s="274">
        <f>IF(A60&lt;&gt;"",DATA_RELATIONSHIPS!G57,"")</f>
        <v/>
      </c>
      <c r="I60" s="273">
        <f>IF(A60&lt;&gt;"",""&amp;DATA_RELATIONSHIPS!H57,"")</f>
        <v/>
      </c>
      <c r="J60" s="273">
        <f>IF(A60&lt;&gt;"",""&amp;DATA_RELATIONSHIPS!I57,"")</f>
        <v/>
      </c>
    </row>
    <row r="61" ht="15.75" customHeight="1" s="132">
      <c r="A61" s="273">
        <f>IF(DATA_RELATIONSHIPS!B58&lt;&gt;"",""&amp;DATA_RELATIONSHIPS!B58,"")</f>
        <v/>
      </c>
      <c r="B61" s="273">
        <f>IF(A61&lt;&gt;"",""&amp;DATA_RELATIONSHIPS!C58,"")</f>
        <v/>
      </c>
      <c r="C61" s="273">
        <f>IF(A61&lt;&gt;"","KO","")</f>
        <v/>
      </c>
      <c r="D61" s="273">
        <f>IF(A61&lt;&gt;"",""&amp;DATA_RELATIONSHIPS!D58,"")</f>
        <v/>
      </c>
      <c r="E61" s="273">
        <f>IF(A61&lt;&gt;"","KO","")</f>
        <v/>
      </c>
      <c r="F61" s="273">
        <f>IF(A61&lt;&gt;"",""&amp;DATA_RELATIONSHIPS!F58,"")</f>
        <v/>
      </c>
      <c r="G61" s="274">
        <f>IF(A61&lt;&gt;"",DATA_RELATIONSHIPS!G58,"")</f>
        <v/>
      </c>
      <c r="H61" s="274">
        <f>IF(A61&lt;&gt;"",DATA_RELATIONSHIPS!G58,"")</f>
        <v/>
      </c>
      <c r="I61" s="273">
        <f>IF(A61&lt;&gt;"",""&amp;DATA_RELATIONSHIPS!H58,"")</f>
        <v/>
      </c>
      <c r="J61" s="273">
        <f>IF(A61&lt;&gt;"",""&amp;DATA_RELATIONSHIPS!I58,"")</f>
        <v/>
      </c>
    </row>
    <row r="62" ht="15.75" customHeight="1" s="132">
      <c r="A62" s="273">
        <f>IF(DATA_RELATIONSHIPS!B59&lt;&gt;"",""&amp;DATA_RELATIONSHIPS!B59,"")</f>
        <v/>
      </c>
      <c r="B62" s="273">
        <f>IF(A62&lt;&gt;"",""&amp;DATA_RELATIONSHIPS!C59,"")</f>
        <v/>
      </c>
      <c r="C62" s="273">
        <f>IF(A62&lt;&gt;"","KO","")</f>
        <v/>
      </c>
      <c r="D62" s="273">
        <f>IF(A62&lt;&gt;"",""&amp;DATA_RELATIONSHIPS!D59,"")</f>
        <v/>
      </c>
      <c r="E62" s="273">
        <f>IF(A62&lt;&gt;"","KO","")</f>
        <v/>
      </c>
      <c r="F62" s="273">
        <f>IF(A62&lt;&gt;"",""&amp;DATA_RELATIONSHIPS!F59,"")</f>
        <v/>
      </c>
      <c r="G62" s="274">
        <f>IF(A62&lt;&gt;"",DATA_RELATIONSHIPS!G59,"")</f>
        <v/>
      </c>
      <c r="H62" s="274">
        <f>IF(A62&lt;&gt;"",DATA_RELATIONSHIPS!G59,"")</f>
        <v/>
      </c>
      <c r="I62" s="273">
        <f>IF(A62&lt;&gt;"",""&amp;DATA_RELATIONSHIPS!H59,"")</f>
        <v/>
      </c>
      <c r="J62" s="273">
        <f>IF(A62&lt;&gt;"",""&amp;DATA_RELATIONSHIPS!I59,"")</f>
        <v/>
      </c>
    </row>
    <row r="63" ht="15.75" customHeight="1" s="132">
      <c r="A63" s="273">
        <f>IF(DATA_RELATIONSHIPS!B60&lt;&gt;"",""&amp;DATA_RELATIONSHIPS!B60,"")</f>
        <v/>
      </c>
      <c r="B63" s="273">
        <f>IF(A63&lt;&gt;"",""&amp;DATA_RELATIONSHIPS!C60,"")</f>
        <v/>
      </c>
      <c r="C63" s="273">
        <f>IF(A63&lt;&gt;"","KO","")</f>
        <v/>
      </c>
      <c r="D63" s="273">
        <f>IF(A63&lt;&gt;"",""&amp;DATA_RELATIONSHIPS!D60,"")</f>
        <v/>
      </c>
      <c r="E63" s="273">
        <f>IF(A63&lt;&gt;"","KO","")</f>
        <v/>
      </c>
      <c r="F63" s="273">
        <f>IF(A63&lt;&gt;"",""&amp;DATA_RELATIONSHIPS!F60,"")</f>
        <v/>
      </c>
      <c r="G63" s="274">
        <f>IF(A63&lt;&gt;"",DATA_RELATIONSHIPS!G60,"")</f>
        <v/>
      </c>
      <c r="H63" s="274">
        <f>IF(A63&lt;&gt;"",DATA_RELATIONSHIPS!G60,"")</f>
        <v/>
      </c>
      <c r="I63" s="273">
        <f>IF(A63&lt;&gt;"",""&amp;DATA_RELATIONSHIPS!H60,"")</f>
        <v/>
      </c>
      <c r="J63" s="273">
        <f>IF(A63&lt;&gt;"",""&amp;DATA_RELATIONSHIPS!I60,"")</f>
        <v/>
      </c>
    </row>
    <row r="64" ht="15.75" customHeight="1" s="132">
      <c r="A64" s="273">
        <f>IF(DATA_RELATIONSHIPS!B61&lt;&gt;"",""&amp;DATA_RELATIONSHIPS!B61,"")</f>
        <v/>
      </c>
      <c r="B64" s="273">
        <f>IF(A64&lt;&gt;"",""&amp;DATA_RELATIONSHIPS!C61,"")</f>
        <v/>
      </c>
      <c r="C64" s="273">
        <f>IF(A64&lt;&gt;"","KO","")</f>
        <v/>
      </c>
      <c r="D64" s="273">
        <f>IF(A64&lt;&gt;"",""&amp;DATA_RELATIONSHIPS!D61,"")</f>
        <v/>
      </c>
      <c r="E64" s="273">
        <f>IF(A64&lt;&gt;"","KO","")</f>
        <v/>
      </c>
      <c r="F64" s="273">
        <f>IF(A64&lt;&gt;"",""&amp;DATA_RELATIONSHIPS!F61,"")</f>
        <v/>
      </c>
      <c r="G64" s="274">
        <f>IF(A64&lt;&gt;"",DATA_RELATIONSHIPS!G61,"")</f>
        <v/>
      </c>
      <c r="H64" s="274">
        <f>IF(A64&lt;&gt;"",DATA_RELATIONSHIPS!G61,"")</f>
        <v/>
      </c>
      <c r="I64" s="273">
        <f>IF(A64&lt;&gt;"",""&amp;DATA_RELATIONSHIPS!H61,"")</f>
        <v/>
      </c>
      <c r="J64" s="273">
        <f>IF(A64&lt;&gt;"",""&amp;DATA_RELATIONSHIPS!I61,"")</f>
        <v/>
      </c>
    </row>
    <row r="65" ht="15.75" customHeight="1" s="132">
      <c r="A65" s="273">
        <f>IF(DATA_RELATIONSHIPS!B62&lt;&gt;"",""&amp;DATA_RELATIONSHIPS!B62,"")</f>
        <v/>
      </c>
      <c r="B65" s="273">
        <f>IF(A65&lt;&gt;"",""&amp;DATA_RELATIONSHIPS!C62,"")</f>
        <v/>
      </c>
      <c r="C65" s="273">
        <f>IF(A65&lt;&gt;"","KO","")</f>
        <v/>
      </c>
      <c r="D65" s="273">
        <f>IF(A65&lt;&gt;"",""&amp;DATA_RELATIONSHIPS!D62,"")</f>
        <v/>
      </c>
      <c r="E65" s="273">
        <f>IF(A65&lt;&gt;"","KO","")</f>
        <v/>
      </c>
      <c r="F65" s="273">
        <f>IF(A65&lt;&gt;"",""&amp;DATA_RELATIONSHIPS!F62,"")</f>
        <v/>
      </c>
      <c r="G65" s="274">
        <f>IF(A65&lt;&gt;"",DATA_RELATIONSHIPS!G62,"")</f>
        <v/>
      </c>
      <c r="H65" s="274">
        <f>IF(A65&lt;&gt;"",DATA_RELATIONSHIPS!G62,"")</f>
        <v/>
      </c>
      <c r="I65" s="273">
        <f>IF(A65&lt;&gt;"",""&amp;DATA_RELATIONSHIPS!H62,"")</f>
        <v/>
      </c>
      <c r="J65" s="273">
        <f>IF(A65&lt;&gt;"",""&amp;DATA_RELATIONSHIPS!I62,"")</f>
        <v/>
      </c>
    </row>
    <row r="66" ht="15.75" customHeight="1" s="132">
      <c r="A66" s="273">
        <f>IF(DATA_RELATIONSHIPS!B63&lt;&gt;"",""&amp;DATA_RELATIONSHIPS!B63,"")</f>
        <v/>
      </c>
      <c r="B66" s="273">
        <f>IF(A66&lt;&gt;"",""&amp;DATA_RELATIONSHIPS!C63,"")</f>
        <v/>
      </c>
      <c r="C66" s="273">
        <f>IF(A66&lt;&gt;"","KO","")</f>
        <v/>
      </c>
      <c r="D66" s="273">
        <f>IF(A66&lt;&gt;"",""&amp;DATA_RELATIONSHIPS!D63,"")</f>
        <v/>
      </c>
      <c r="E66" s="273">
        <f>IF(A66&lt;&gt;"","KO","")</f>
        <v/>
      </c>
      <c r="F66" s="273">
        <f>IF(A66&lt;&gt;"",""&amp;DATA_RELATIONSHIPS!F63,"")</f>
        <v/>
      </c>
      <c r="G66" s="274">
        <f>IF(A66&lt;&gt;"",DATA_RELATIONSHIPS!G63,"")</f>
        <v/>
      </c>
      <c r="H66" s="274">
        <f>IF(A66&lt;&gt;"",DATA_RELATIONSHIPS!G63,"")</f>
        <v/>
      </c>
      <c r="I66" s="273">
        <f>IF(A66&lt;&gt;"",""&amp;DATA_RELATIONSHIPS!H63,"")</f>
        <v/>
      </c>
      <c r="J66" s="273">
        <f>IF(A66&lt;&gt;"",""&amp;DATA_RELATIONSHIPS!I63,"")</f>
        <v/>
      </c>
    </row>
    <row r="67" ht="15.75" customHeight="1" s="132">
      <c r="A67" s="273">
        <f>IF(DATA_RELATIONSHIPS!B64&lt;&gt;"",""&amp;DATA_RELATIONSHIPS!B64,"")</f>
        <v/>
      </c>
      <c r="B67" s="273">
        <f>IF(A67&lt;&gt;"",""&amp;DATA_RELATIONSHIPS!C64,"")</f>
        <v/>
      </c>
      <c r="C67" s="273">
        <f>IF(A67&lt;&gt;"","KO","")</f>
        <v/>
      </c>
      <c r="D67" s="273">
        <f>IF(A67&lt;&gt;"",""&amp;DATA_RELATIONSHIPS!D64,"")</f>
        <v/>
      </c>
      <c r="E67" s="273">
        <f>IF(A67&lt;&gt;"","KO","")</f>
        <v/>
      </c>
      <c r="F67" s="273">
        <f>IF(A67&lt;&gt;"",""&amp;DATA_RELATIONSHIPS!F64,"")</f>
        <v/>
      </c>
      <c r="G67" s="274">
        <f>IF(A67&lt;&gt;"",DATA_RELATIONSHIPS!G64,"")</f>
        <v/>
      </c>
      <c r="H67" s="274">
        <f>IF(A67&lt;&gt;"",DATA_RELATIONSHIPS!G64,"")</f>
        <v/>
      </c>
      <c r="I67" s="273">
        <f>IF(A67&lt;&gt;"",""&amp;DATA_RELATIONSHIPS!H64,"")</f>
        <v/>
      </c>
      <c r="J67" s="273">
        <f>IF(A67&lt;&gt;"",""&amp;DATA_RELATIONSHIPS!I64,"")</f>
        <v/>
      </c>
    </row>
    <row r="68" ht="15.75" customHeight="1" s="132">
      <c r="A68" s="273">
        <f>IF(DATA_RELATIONSHIPS!B65&lt;&gt;"",""&amp;DATA_RELATIONSHIPS!B65,"")</f>
        <v/>
      </c>
      <c r="B68" s="273">
        <f>IF(A68&lt;&gt;"",""&amp;DATA_RELATIONSHIPS!C65,"")</f>
        <v/>
      </c>
      <c r="C68" s="273">
        <f>IF(A68&lt;&gt;"","KO","")</f>
        <v/>
      </c>
      <c r="D68" s="273">
        <f>IF(A68&lt;&gt;"",""&amp;DATA_RELATIONSHIPS!D65,"")</f>
        <v/>
      </c>
      <c r="E68" s="273">
        <f>IF(A68&lt;&gt;"","KO","")</f>
        <v/>
      </c>
      <c r="F68" s="273">
        <f>IF(A68&lt;&gt;"",""&amp;DATA_RELATIONSHIPS!F65,"")</f>
        <v/>
      </c>
      <c r="G68" s="274">
        <f>IF(A68&lt;&gt;"",DATA_RELATIONSHIPS!G65,"")</f>
        <v/>
      </c>
      <c r="H68" s="274">
        <f>IF(A68&lt;&gt;"",DATA_RELATIONSHIPS!G65,"")</f>
        <v/>
      </c>
      <c r="I68" s="273">
        <f>IF(A68&lt;&gt;"",""&amp;DATA_RELATIONSHIPS!H65,"")</f>
        <v/>
      </c>
      <c r="J68" s="273">
        <f>IF(A68&lt;&gt;"",""&amp;DATA_RELATIONSHIPS!I65,"")</f>
        <v/>
      </c>
    </row>
    <row r="69" ht="15.75" customHeight="1" s="132">
      <c r="A69" s="273">
        <f>IF(DATA_RELATIONSHIPS!B66&lt;&gt;"",""&amp;DATA_RELATIONSHIPS!B66,"")</f>
        <v/>
      </c>
      <c r="B69" s="273">
        <f>IF(A69&lt;&gt;"",""&amp;DATA_RELATIONSHIPS!C66,"")</f>
        <v/>
      </c>
      <c r="C69" s="273">
        <f>IF(A69&lt;&gt;"","KO","")</f>
        <v/>
      </c>
      <c r="D69" s="273">
        <f>IF(A69&lt;&gt;"",""&amp;DATA_RELATIONSHIPS!D66,"")</f>
        <v/>
      </c>
      <c r="E69" s="273">
        <f>IF(A69&lt;&gt;"","KO","")</f>
        <v/>
      </c>
      <c r="F69" s="273">
        <f>IF(A69&lt;&gt;"",""&amp;DATA_RELATIONSHIPS!F66,"")</f>
        <v/>
      </c>
      <c r="G69" s="274">
        <f>IF(A69&lt;&gt;"",DATA_RELATIONSHIPS!G66,"")</f>
        <v/>
      </c>
      <c r="H69" s="274">
        <f>IF(A69&lt;&gt;"",DATA_RELATIONSHIPS!G66,"")</f>
        <v/>
      </c>
      <c r="I69" s="273">
        <f>IF(A69&lt;&gt;"",""&amp;DATA_RELATIONSHIPS!H66,"")</f>
        <v/>
      </c>
      <c r="J69" s="273">
        <f>IF(A69&lt;&gt;"",""&amp;DATA_RELATIONSHIPS!I66,"")</f>
        <v/>
      </c>
    </row>
    <row r="70" ht="15.75" customHeight="1" s="132">
      <c r="A70" s="273">
        <f>IF(DATA_RELATIONSHIPS!B67&lt;&gt;"",""&amp;DATA_RELATIONSHIPS!B67,"")</f>
        <v/>
      </c>
      <c r="B70" s="273">
        <f>IF(A70&lt;&gt;"",""&amp;DATA_RELATIONSHIPS!C67,"")</f>
        <v/>
      </c>
      <c r="C70" s="273">
        <f>IF(A70&lt;&gt;"","KO","")</f>
        <v/>
      </c>
      <c r="D70" s="273">
        <f>IF(A70&lt;&gt;"",""&amp;DATA_RELATIONSHIPS!D67,"")</f>
        <v/>
      </c>
      <c r="E70" s="273">
        <f>IF(A70&lt;&gt;"","KO","")</f>
        <v/>
      </c>
      <c r="F70" s="273">
        <f>IF(A70&lt;&gt;"",""&amp;DATA_RELATIONSHIPS!F67,"")</f>
        <v/>
      </c>
      <c r="G70" s="274">
        <f>IF(A70&lt;&gt;"",DATA_RELATIONSHIPS!G67,"")</f>
        <v/>
      </c>
      <c r="H70" s="274">
        <f>IF(A70&lt;&gt;"",DATA_RELATIONSHIPS!G67,"")</f>
        <v/>
      </c>
      <c r="I70" s="273">
        <f>IF(A70&lt;&gt;"",""&amp;DATA_RELATIONSHIPS!H67,"")</f>
        <v/>
      </c>
      <c r="J70" s="273">
        <f>IF(A70&lt;&gt;"",""&amp;DATA_RELATIONSHIPS!I67,"")</f>
        <v/>
      </c>
    </row>
    <row r="71" ht="15.75" customHeight="1" s="132">
      <c r="A71" s="273">
        <f>IF(DATA_RELATIONSHIPS!B68&lt;&gt;"",""&amp;DATA_RELATIONSHIPS!B68,"")</f>
        <v/>
      </c>
      <c r="B71" s="273">
        <f>IF(A71&lt;&gt;"",""&amp;DATA_RELATIONSHIPS!C68,"")</f>
        <v/>
      </c>
      <c r="C71" s="273">
        <f>IF(A71&lt;&gt;"","KO","")</f>
        <v/>
      </c>
      <c r="D71" s="273">
        <f>IF(A71&lt;&gt;"",""&amp;DATA_RELATIONSHIPS!D68,"")</f>
        <v/>
      </c>
      <c r="E71" s="273">
        <f>IF(A71&lt;&gt;"","KO","")</f>
        <v/>
      </c>
      <c r="F71" s="273">
        <f>IF(A71&lt;&gt;"",""&amp;DATA_RELATIONSHIPS!F68,"")</f>
        <v/>
      </c>
      <c r="G71" s="274">
        <f>IF(A71&lt;&gt;"",DATA_RELATIONSHIPS!G68,"")</f>
        <v/>
      </c>
      <c r="H71" s="274">
        <f>IF(A71&lt;&gt;"",DATA_RELATIONSHIPS!G68,"")</f>
        <v/>
      </c>
      <c r="I71" s="273">
        <f>IF(A71&lt;&gt;"",""&amp;DATA_RELATIONSHIPS!H68,"")</f>
        <v/>
      </c>
      <c r="J71" s="273">
        <f>IF(A71&lt;&gt;"",""&amp;DATA_RELATIONSHIPS!I68,"")</f>
        <v/>
      </c>
    </row>
    <row r="72" ht="15.75" customHeight="1" s="132">
      <c r="A72" s="273">
        <f>IF(DATA_RELATIONSHIPS!B69&lt;&gt;"",""&amp;DATA_RELATIONSHIPS!B69,"")</f>
        <v/>
      </c>
      <c r="B72" s="273">
        <f>IF(A72&lt;&gt;"",""&amp;DATA_RELATIONSHIPS!C69,"")</f>
        <v/>
      </c>
      <c r="C72" s="273">
        <f>IF(A72&lt;&gt;"","KO","")</f>
        <v/>
      </c>
      <c r="D72" s="273">
        <f>IF(A72&lt;&gt;"",""&amp;DATA_RELATIONSHIPS!D69,"")</f>
        <v/>
      </c>
      <c r="E72" s="273">
        <f>IF(A72&lt;&gt;"","KO","")</f>
        <v/>
      </c>
      <c r="F72" s="273">
        <f>IF(A72&lt;&gt;"",""&amp;DATA_RELATIONSHIPS!F69,"")</f>
        <v/>
      </c>
      <c r="G72" s="274">
        <f>IF(A72&lt;&gt;"",DATA_RELATIONSHIPS!G69,"")</f>
        <v/>
      </c>
      <c r="H72" s="274">
        <f>IF(A72&lt;&gt;"",DATA_RELATIONSHIPS!G69,"")</f>
        <v/>
      </c>
      <c r="I72" s="273">
        <f>IF(A72&lt;&gt;"",""&amp;DATA_RELATIONSHIPS!H69,"")</f>
        <v/>
      </c>
      <c r="J72" s="273">
        <f>IF(A72&lt;&gt;"",""&amp;DATA_RELATIONSHIPS!I69,"")</f>
        <v/>
      </c>
    </row>
    <row r="73" ht="15.75" customHeight="1" s="132">
      <c r="A73" s="273">
        <f>IF(DATA_RELATIONSHIPS!B70&lt;&gt;"",""&amp;DATA_RELATIONSHIPS!B70,"")</f>
        <v/>
      </c>
      <c r="B73" s="273">
        <f>IF(A73&lt;&gt;"",""&amp;DATA_RELATIONSHIPS!C70,"")</f>
        <v/>
      </c>
      <c r="C73" s="273">
        <f>IF(A73&lt;&gt;"","KO","")</f>
        <v/>
      </c>
      <c r="D73" s="273">
        <f>IF(A73&lt;&gt;"",""&amp;DATA_RELATIONSHIPS!D70,"")</f>
        <v/>
      </c>
      <c r="E73" s="273">
        <f>IF(A73&lt;&gt;"","KO","")</f>
        <v/>
      </c>
      <c r="F73" s="273">
        <f>IF(A73&lt;&gt;"",""&amp;DATA_RELATIONSHIPS!F70,"")</f>
        <v/>
      </c>
      <c r="G73" s="274">
        <f>IF(A73&lt;&gt;"",DATA_RELATIONSHIPS!G70,"")</f>
        <v/>
      </c>
      <c r="H73" s="274">
        <f>IF(A73&lt;&gt;"",DATA_RELATIONSHIPS!G70,"")</f>
        <v/>
      </c>
      <c r="I73" s="273">
        <f>IF(A73&lt;&gt;"",""&amp;DATA_RELATIONSHIPS!H70,"")</f>
        <v/>
      </c>
      <c r="J73" s="273">
        <f>IF(A73&lt;&gt;"",""&amp;DATA_RELATIONSHIPS!I70,"")</f>
        <v/>
      </c>
    </row>
    <row r="74" ht="15.75" customHeight="1" s="132">
      <c r="A74" s="273">
        <f>IF(DATA_RELATIONSHIPS!B71&lt;&gt;"",""&amp;DATA_RELATIONSHIPS!B71,"")</f>
        <v/>
      </c>
      <c r="B74" s="273">
        <f>IF(A74&lt;&gt;"",""&amp;DATA_RELATIONSHIPS!C71,"")</f>
        <v/>
      </c>
      <c r="C74" s="273">
        <f>IF(A74&lt;&gt;"","KO","")</f>
        <v/>
      </c>
      <c r="D74" s="273">
        <f>IF(A74&lt;&gt;"",""&amp;DATA_RELATIONSHIPS!D71,"")</f>
        <v/>
      </c>
      <c r="E74" s="273">
        <f>IF(A74&lt;&gt;"","KO","")</f>
        <v/>
      </c>
      <c r="F74" s="273">
        <f>IF(A74&lt;&gt;"",""&amp;DATA_RELATIONSHIPS!F71,"")</f>
        <v/>
      </c>
      <c r="G74" s="274">
        <f>IF(A74&lt;&gt;"",DATA_RELATIONSHIPS!G71,"")</f>
        <v/>
      </c>
      <c r="H74" s="274">
        <f>IF(A74&lt;&gt;"",DATA_RELATIONSHIPS!G71,"")</f>
        <v/>
      </c>
      <c r="I74" s="273">
        <f>IF(A74&lt;&gt;"",""&amp;DATA_RELATIONSHIPS!H71,"")</f>
        <v/>
      </c>
      <c r="J74" s="273">
        <f>IF(A74&lt;&gt;"",""&amp;DATA_RELATIONSHIPS!I71,"")</f>
        <v/>
      </c>
    </row>
    <row r="75" ht="15.75" customHeight="1" s="132">
      <c r="A75" s="273">
        <f>IF(DATA_RELATIONSHIPS!B72&lt;&gt;"",""&amp;DATA_RELATIONSHIPS!B72,"")</f>
        <v/>
      </c>
      <c r="B75" s="273">
        <f>IF(A75&lt;&gt;"",""&amp;DATA_RELATIONSHIPS!C72,"")</f>
        <v/>
      </c>
      <c r="C75" s="273">
        <f>IF(A75&lt;&gt;"","KO","")</f>
        <v/>
      </c>
      <c r="D75" s="273">
        <f>IF(A75&lt;&gt;"",""&amp;DATA_RELATIONSHIPS!D72,"")</f>
        <v/>
      </c>
      <c r="E75" s="273">
        <f>IF(A75&lt;&gt;"","KO","")</f>
        <v/>
      </c>
      <c r="F75" s="273">
        <f>IF(A75&lt;&gt;"",""&amp;DATA_RELATIONSHIPS!F72,"")</f>
        <v/>
      </c>
      <c r="G75" s="274">
        <f>IF(A75&lt;&gt;"",DATA_RELATIONSHIPS!G72,"")</f>
        <v/>
      </c>
      <c r="H75" s="274">
        <f>IF(A75&lt;&gt;"",DATA_RELATIONSHIPS!G72,"")</f>
        <v/>
      </c>
      <c r="I75" s="273">
        <f>IF(A75&lt;&gt;"",""&amp;DATA_RELATIONSHIPS!H72,"")</f>
        <v/>
      </c>
      <c r="J75" s="273">
        <f>IF(A75&lt;&gt;"",""&amp;DATA_RELATIONSHIPS!I72,"")</f>
        <v/>
      </c>
    </row>
    <row r="76" ht="15.75" customHeight="1" s="132">
      <c r="A76" s="273">
        <f>IF(DATA_RELATIONSHIPS!B73&lt;&gt;"",""&amp;DATA_RELATIONSHIPS!B73,"")</f>
        <v/>
      </c>
      <c r="B76" s="273">
        <f>IF(A76&lt;&gt;"",""&amp;DATA_RELATIONSHIPS!C73,"")</f>
        <v/>
      </c>
      <c r="C76" s="273">
        <f>IF(A76&lt;&gt;"","KO","")</f>
        <v/>
      </c>
      <c r="D76" s="273">
        <f>IF(A76&lt;&gt;"",""&amp;DATA_RELATIONSHIPS!D73,"")</f>
        <v/>
      </c>
      <c r="E76" s="273">
        <f>IF(A76&lt;&gt;"","KO","")</f>
        <v/>
      </c>
      <c r="F76" s="273">
        <f>IF(A76&lt;&gt;"",""&amp;DATA_RELATIONSHIPS!F73,"")</f>
        <v/>
      </c>
      <c r="G76" s="274">
        <f>IF(A76&lt;&gt;"",DATA_RELATIONSHIPS!G73,"")</f>
        <v/>
      </c>
      <c r="H76" s="274">
        <f>IF(A76&lt;&gt;"",DATA_RELATIONSHIPS!G73,"")</f>
        <v/>
      </c>
      <c r="I76" s="273">
        <f>IF(A76&lt;&gt;"",""&amp;DATA_RELATIONSHIPS!H73,"")</f>
        <v/>
      </c>
      <c r="J76" s="273">
        <f>IF(A76&lt;&gt;"",""&amp;DATA_RELATIONSHIPS!I73,"")</f>
        <v/>
      </c>
    </row>
    <row r="77" ht="15.75" customHeight="1" s="132">
      <c r="A77" s="273">
        <f>IF(DATA_RELATIONSHIPS!B74&lt;&gt;"",""&amp;DATA_RELATIONSHIPS!B74,"")</f>
        <v/>
      </c>
      <c r="B77" s="273">
        <f>IF(A77&lt;&gt;"",""&amp;DATA_RELATIONSHIPS!C74,"")</f>
        <v/>
      </c>
      <c r="C77" s="273">
        <f>IF(A77&lt;&gt;"","KO","")</f>
        <v/>
      </c>
      <c r="D77" s="273">
        <f>IF(A77&lt;&gt;"",""&amp;DATA_RELATIONSHIPS!D74,"")</f>
        <v/>
      </c>
      <c r="E77" s="273">
        <f>IF(A77&lt;&gt;"","KO","")</f>
        <v/>
      </c>
      <c r="F77" s="273">
        <f>IF(A77&lt;&gt;"",""&amp;DATA_RELATIONSHIPS!F74,"")</f>
        <v/>
      </c>
      <c r="G77" s="274">
        <f>IF(A77&lt;&gt;"",DATA_RELATIONSHIPS!G74,"")</f>
        <v/>
      </c>
      <c r="H77" s="274">
        <f>IF(A77&lt;&gt;"",DATA_RELATIONSHIPS!G74,"")</f>
        <v/>
      </c>
      <c r="I77" s="273">
        <f>IF(A77&lt;&gt;"",""&amp;DATA_RELATIONSHIPS!H74,"")</f>
        <v/>
      </c>
      <c r="J77" s="273">
        <f>IF(A77&lt;&gt;"",""&amp;DATA_RELATIONSHIPS!I74,"")</f>
        <v/>
      </c>
    </row>
    <row r="78" ht="15.75" customHeight="1" s="132">
      <c r="A78" s="273">
        <f>IF(DATA_RELATIONSHIPS!B75&lt;&gt;"",""&amp;DATA_RELATIONSHIPS!B75,"")</f>
        <v/>
      </c>
      <c r="B78" s="273">
        <f>IF(A78&lt;&gt;"",""&amp;DATA_RELATIONSHIPS!C75,"")</f>
        <v/>
      </c>
      <c r="C78" s="273">
        <f>IF(A78&lt;&gt;"","KO","")</f>
        <v/>
      </c>
      <c r="D78" s="273">
        <f>IF(A78&lt;&gt;"",""&amp;DATA_RELATIONSHIPS!D75,"")</f>
        <v/>
      </c>
      <c r="E78" s="273">
        <f>IF(A78&lt;&gt;"","KO","")</f>
        <v/>
      </c>
      <c r="F78" s="273">
        <f>IF(A78&lt;&gt;"",""&amp;DATA_RELATIONSHIPS!F75,"")</f>
        <v/>
      </c>
      <c r="G78" s="274">
        <f>IF(A78&lt;&gt;"",DATA_RELATIONSHIPS!G75,"")</f>
        <v/>
      </c>
      <c r="H78" s="274">
        <f>IF(A78&lt;&gt;"",DATA_RELATIONSHIPS!G75,"")</f>
        <v/>
      </c>
      <c r="I78" s="273">
        <f>IF(A78&lt;&gt;"",""&amp;DATA_RELATIONSHIPS!H75,"")</f>
        <v/>
      </c>
      <c r="J78" s="273">
        <f>IF(A78&lt;&gt;"",""&amp;DATA_RELATIONSHIPS!I75,"")</f>
        <v/>
      </c>
    </row>
    <row r="79" ht="15.75" customHeight="1" s="132">
      <c r="A79" s="273">
        <f>IF(DATA_RELATIONSHIPS!B76&lt;&gt;"",""&amp;DATA_RELATIONSHIPS!B76,"")</f>
        <v/>
      </c>
      <c r="B79" s="273">
        <f>IF(A79&lt;&gt;"",""&amp;DATA_RELATIONSHIPS!C76,"")</f>
        <v/>
      </c>
      <c r="C79" s="273">
        <f>IF(A79&lt;&gt;"","KO","")</f>
        <v/>
      </c>
      <c r="D79" s="273">
        <f>IF(A79&lt;&gt;"",""&amp;DATA_RELATIONSHIPS!D76,"")</f>
        <v/>
      </c>
      <c r="E79" s="273">
        <f>IF(A79&lt;&gt;"","KO","")</f>
        <v/>
      </c>
      <c r="F79" s="273">
        <f>IF(A79&lt;&gt;"",""&amp;DATA_RELATIONSHIPS!F76,"")</f>
        <v/>
      </c>
      <c r="G79" s="274">
        <f>IF(A79&lt;&gt;"",DATA_RELATIONSHIPS!G76,"")</f>
        <v/>
      </c>
      <c r="H79" s="274">
        <f>IF(A79&lt;&gt;"",DATA_RELATIONSHIPS!G76,"")</f>
        <v/>
      </c>
      <c r="I79" s="273">
        <f>IF(A79&lt;&gt;"",""&amp;DATA_RELATIONSHIPS!H76,"")</f>
        <v/>
      </c>
      <c r="J79" s="273">
        <f>IF(A79&lt;&gt;"",""&amp;DATA_RELATIONSHIPS!I76,"")</f>
        <v/>
      </c>
    </row>
    <row r="80" ht="15.75" customHeight="1" s="132">
      <c r="A80" s="273">
        <f>IF(DATA_RELATIONSHIPS!B77&lt;&gt;"",""&amp;DATA_RELATIONSHIPS!B77,"")</f>
        <v/>
      </c>
      <c r="B80" s="273">
        <f>IF(A80&lt;&gt;"",""&amp;DATA_RELATIONSHIPS!C77,"")</f>
        <v/>
      </c>
      <c r="C80" s="273">
        <f>IF(A80&lt;&gt;"","KO","")</f>
        <v/>
      </c>
      <c r="D80" s="273">
        <f>IF(A80&lt;&gt;"",""&amp;DATA_RELATIONSHIPS!D77,"")</f>
        <v/>
      </c>
      <c r="E80" s="273">
        <f>IF(A80&lt;&gt;"","KO","")</f>
        <v/>
      </c>
      <c r="F80" s="273">
        <f>IF(A80&lt;&gt;"",""&amp;DATA_RELATIONSHIPS!F77,"")</f>
        <v/>
      </c>
      <c r="G80" s="274">
        <f>IF(A80&lt;&gt;"",DATA_RELATIONSHIPS!G77,"")</f>
        <v/>
      </c>
      <c r="H80" s="274">
        <f>IF(A80&lt;&gt;"",DATA_RELATIONSHIPS!G77,"")</f>
        <v/>
      </c>
      <c r="I80" s="273">
        <f>IF(A80&lt;&gt;"",""&amp;DATA_RELATIONSHIPS!H77,"")</f>
        <v/>
      </c>
      <c r="J80" s="273">
        <f>IF(A80&lt;&gt;"",""&amp;DATA_RELATIONSHIPS!I77,"")</f>
        <v/>
      </c>
    </row>
    <row r="81" ht="15.75" customHeight="1" s="132">
      <c r="A81" s="273">
        <f>IF(DATA_RELATIONSHIPS!B78&lt;&gt;"",""&amp;DATA_RELATIONSHIPS!B78,"")</f>
        <v/>
      </c>
      <c r="B81" s="273">
        <f>IF(A81&lt;&gt;"",""&amp;DATA_RELATIONSHIPS!C78,"")</f>
        <v/>
      </c>
      <c r="C81" s="273">
        <f>IF(A81&lt;&gt;"","KO","")</f>
        <v/>
      </c>
      <c r="D81" s="273">
        <f>IF(A81&lt;&gt;"",""&amp;DATA_RELATIONSHIPS!D78,"")</f>
        <v/>
      </c>
      <c r="E81" s="273">
        <f>IF(A81&lt;&gt;"","KO","")</f>
        <v/>
      </c>
      <c r="F81" s="273">
        <f>IF(A81&lt;&gt;"",""&amp;DATA_RELATIONSHIPS!F78,"")</f>
        <v/>
      </c>
      <c r="G81" s="274">
        <f>IF(A81&lt;&gt;"",DATA_RELATIONSHIPS!G78,"")</f>
        <v/>
      </c>
      <c r="H81" s="274">
        <f>IF(A81&lt;&gt;"",DATA_RELATIONSHIPS!G78,"")</f>
        <v/>
      </c>
      <c r="I81" s="273">
        <f>IF(A81&lt;&gt;"",""&amp;DATA_RELATIONSHIPS!H78,"")</f>
        <v/>
      </c>
      <c r="J81" s="273">
        <f>IF(A81&lt;&gt;"",""&amp;DATA_RELATIONSHIPS!I78,"")</f>
        <v/>
      </c>
    </row>
    <row r="82" ht="15.75" customHeight="1" s="132">
      <c r="A82" s="273">
        <f>IF(DATA_RELATIONSHIPS!B79&lt;&gt;"",""&amp;DATA_RELATIONSHIPS!B79,"")</f>
        <v/>
      </c>
      <c r="B82" s="273">
        <f>IF(A82&lt;&gt;"",""&amp;DATA_RELATIONSHIPS!C79,"")</f>
        <v/>
      </c>
      <c r="C82" s="273">
        <f>IF(A82&lt;&gt;"","KO","")</f>
        <v/>
      </c>
      <c r="D82" s="273">
        <f>IF(A82&lt;&gt;"",""&amp;DATA_RELATIONSHIPS!D79,"")</f>
        <v/>
      </c>
      <c r="E82" s="273">
        <f>IF(A82&lt;&gt;"","KO","")</f>
        <v/>
      </c>
      <c r="F82" s="273">
        <f>IF(A82&lt;&gt;"",""&amp;DATA_RELATIONSHIPS!F79,"")</f>
        <v/>
      </c>
      <c r="G82" s="274">
        <f>IF(A82&lt;&gt;"",DATA_RELATIONSHIPS!G79,"")</f>
        <v/>
      </c>
      <c r="H82" s="274">
        <f>IF(A82&lt;&gt;"",DATA_RELATIONSHIPS!G79,"")</f>
        <v/>
      </c>
      <c r="I82" s="273">
        <f>IF(A82&lt;&gt;"",""&amp;DATA_RELATIONSHIPS!H79,"")</f>
        <v/>
      </c>
      <c r="J82" s="273">
        <f>IF(A82&lt;&gt;"",""&amp;DATA_RELATIONSHIPS!I79,"")</f>
        <v/>
      </c>
    </row>
    <row r="83" ht="15.75" customHeight="1" s="132">
      <c r="A83" s="273">
        <f>IF(DATA_RELATIONSHIPS!B80&lt;&gt;"",""&amp;DATA_RELATIONSHIPS!B80,"")</f>
        <v/>
      </c>
      <c r="B83" s="273">
        <f>IF(A83&lt;&gt;"",""&amp;DATA_RELATIONSHIPS!C80,"")</f>
        <v/>
      </c>
      <c r="C83" s="273">
        <f>IF(A83&lt;&gt;"","KO","")</f>
        <v/>
      </c>
      <c r="D83" s="273">
        <f>IF(A83&lt;&gt;"",""&amp;DATA_RELATIONSHIPS!D80,"")</f>
        <v/>
      </c>
      <c r="E83" s="273">
        <f>IF(A83&lt;&gt;"","KO","")</f>
        <v/>
      </c>
      <c r="F83" s="273">
        <f>IF(A83&lt;&gt;"",""&amp;DATA_RELATIONSHIPS!F80,"")</f>
        <v/>
      </c>
      <c r="G83" s="274">
        <f>IF(A83&lt;&gt;"",DATA_RELATIONSHIPS!G80,"")</f>
        <v/>
      </c>
      <c r="H83" s="274">
        <f>IF(A83&lt;&gt;"",DATA_RELATIONSHIPS!G80,"")</f>
        <v/>
      </c>
      <c r="I83" s="273">
        <f>IF(A83&lt;&gt;"",""&amp;DATA_RELATIONSHIPS!H80,"")</f>
        <v/>
      </c>
      <c r="J83" s="273">
        <f>IF(A83&lt;&gt;"",""&amp;DATA_RELATIONSHIPS!I80,"")</f>
        <v/>
      </c>
    </row>
    <row r="84" ht="15.75" customHeight="1" s="132">
      <c r="A84" s="273">
        <f>IF(DATA_RELATIONSHIPS!B81&lt;&gt;"",""&amp;DATA_RELATIONSHIPS!B81,"")</f>
        <v/>
      </c>
      <c r="B84" s="273">
        <f>IF(A84&lt;&gt;"",""&amp;DATA_RELATIONSHIPS!C81,"")</f>
        <v/>
      </c>
      <c r="C84" s="273">
        <f>IF(A84&lt;&gt;"","KO","")</f>
        <v/>
      </c>
      <c r="D84" s="273">
        <f>IF(A84&lt;&gt;"",""&amp;DATA_RELATIONSHIPS!D81,"")</f>
        <v/>
      </c>
      <c r="E84" s="273">
        <f>IF(A84&lt;&gt;"","KO","")</f>
        <v/>
      </c>
      <c r="F84" s="273">
        <f>IF(A84&lt;&gt;"",""&amp;DATA_RELATIONSHIPS!F81,"")</f>
        <v/>
      </c>
      <c r="G84" s="274">
        <f>IF(A84&lt;&gt;"",DATA_RELATIONSHIPS!G81,"")</f>
        <v/>
      </c>
      <c r="H84" s="274">
        <f>IF(A84&lt;&gt;"",DATA_RELATIONSHIPS!G81,"")</f>
        <v/>
      </c>
      <c r="I84" s="273">
        <f>IF(A84&lt;&gt;"",""&amp;DATA_RELATIONSHIPS!H81,"")</f>
        <v/>
      </c>
      <c r="J84" s="273">
        <f>IF(A84&lt;&gt;"",""&amp;DATA_RELATIONSHIPS!I81,"")</f>
        <v/>
      </c>
    </row>
    <row r="85" ht="15.75" customHeight="1" s="132">
      <c r="A85" s="273">
        <f>IF(DATA_RELATIONSHIPS!B82&lt;&gt;"",""&amp;DATA_RELATIONSHIPS!B82,"")</f>
        <v/>
      </c>
      <c r="B85" s="273">
        <f>IF(A85&lt;&gt;"",""&amp;DATA_RELATIONSHIPS!C82,"")</f>
        <v/>
      </c>
      <c r="C85" s="273">
        <f>IF(A85&lt;&gt;"","KO","")</f>
        <v/>
      </c>
      <c r="D85" s="273">
        <f>IF(A85&lt;&gt;"",""&amp;DATA_RELATIONSHIPS!D82,"")</f>
        <v/>
      </c>
      <c r="E85" s="273">
        <f>IF(A85&lt;&gt;"","KO","")</f>
        <v/>
      </c>
      <c r="F85" s="273">
        <f>IF(A85&lt;&gt;"",""&amp;DATA_RELATIONSHIPS!F82,"")</f>
        <v/>
      </c>
      <c r="G85" s="274">
        <f>IF(A85&lt;&gt;"",DATA_RELATIONSHIPS!G82,"")</f>
        <v/>
      </c>
      <c r="H85" s="274">
        <f>IF(A85&lt;&gt;"",DATA_RELATIONSHIPS!G82,"")</f>
        <v/>
      </c>
      <c r="I85" s="273">
        <f>IF(A85&lt;&gt;"",""&amp;DATA_RELATIONSHIPS!H82,"")</f>
        <v/>
      </c>
      <c r="J85" s="273">
        <f>IF(A85&lt;&gt;"",""&amp;DATA_RELATIONSHIPS!I82,"")</f>
        <v/>
      </c>
    </row>
    <row r="86" ht="15.75" customHeight="1" s="132">
      <c r="A86" s="273">
        <f>IF(DATA_RELATIONSHIPS!B83&lt;&gt;"",""&amp;DATA_RELATIONSHIPS!B83,"")</f>
        <v/>
      </c>
      <c r="B86" s="273">
        <f>IF(A86&lt;&gt;"",""&amp;DATA_RELATIONSHIPS!C83,"")</f>
        <v/>
      </c>
      <c r="C86" s="273">
        <f>IF(A86&lt;&gt;"","KO","")</f>
        <v/>
      </c>
      <c r="D86" s="273">
        <f>IF(A86&lt;&gt;"",""&amp;DATA_RELATIONSHIPS!D83,"")</f>
        <v/>
      </c>
      <c r="E86" s="273">
        <f>IF(A86&lt;&gt;"","KO","")</f>
        <v/>
      </c>
      <c r="F86" s="273">
        <f>IF(A86&lt;&gt;"",""&amp;DATA_RELATIONSHIPS!F83,"")</f>
        <v/>
      </c>
      <c r="G86" s="274">
        <f>IF(A86&lt;&gt;"",DATA_RELATIONSHIPS!G83,"")</f>
        <v/>
      </c>
      <c r="H86" s="274">
        <f>IF(A86&lt;&gt;"",DATA_RELATIONSHIPS!G83,"")</f>
        <v/>
      </c>
      <c r="I86" s="273">
        <f>IF(A86&lt;&gt;"",""&amp;DATA_RELATIONSHIPS!H83,"")</f>
        <v/>
      </c>
      <c r="J86" s="273">
        <f>IF(A86&lt;&gt;"",""&amp;DATA_RELATIONSHIPS!I83,"")</f>
        <v/>
      </c>
    </row>
    <row r="87" ht="15.75" customHeight="1" s="132">
      <c r="A87" s="273">
        <f>IF(DATA_RELATIONSHIPS!B84&lt;&gt;"",""&amp;DATA_RELATIONSHIPS!B84,"")</f>
        <v/>
      </c>
      <c r="B87" s="273">
        <f>IF(A87&lt;&gt;"",""&amp;DATA_RELATIONSHIPS!C84,"")</f>
        <v/>
      </c>
      <c r="C87" s="273">
        <f>IF(A87&lt;&gt;"","KO","")</f>
        <v/>
      </c>
      <c r="D87" s="273">
        <f>IF(A87&lt;&gt;"",""&amp;DATA_RELATIONSHIPS!D84,"")</f>
        <v/>
      </c>
      <c r="E87" s="273">
        <f>IF(A87&lt;&gt;"","KO","")</f>
        <v/>
      </c>
      <c r="F87" s="273">
        <f>IF(A87&lt;&gt;"",""&amp;DATA_RELATIONSHIPS!F84,"")</f>
        <v/>
      </c>
      <c r="G87" s="274">
        <f>IF(A87&lt;&gt;"",DATA_RELATIONSHIPS!G84,"")</f>
        <v/>
      </c>
      <c r="H87" s="274">
        <f>IF(A87&lt;&gt;"",DATA_RELATIONSHIPS!G84,"")</f>
        <v/>
      </c>
      <c r="I87" s="273">
        <f>IF(A87&lt;&gt;"",""&amp;DATA_RELATIONSHIPS!H84,"")</f>
        <v/>
      </c>
      <c r="J87" s="273">
        <f>IF(A87&lt;&gt;"",""&amp;DATA_RELATIONSHIPS!I84,"")</f>
        <v/>
      </c>
    </row>
    <row r="88" ht="15.75" customHeight="1" s="132">
      <c r="A88" s="273">
        <f>IF(DATA_RELATIONSHIPS!B85&lt;&gt;"",""&amp;DATA_RELATIONSHIPS!B85,"")</f>
        <v/>
      </c>
      <c r="B88" s="273">
        <f>IF(A88&lt;&gt;"",""&amp;DATA_RELATIONSHIPS!C85,"")</f>
        <v/>
      </c>
      <c r="C88" s="273">
        <f>IF(A88&lt;&gt;"","KO","")</f>
        <v/>
      </c>
      <c r="D88" s="273">
        <f>IF(A88&lt;&gt;"",""&amp;DATA_RELATIONSHIPS!D85,"")</f>
        <v/>
      </c>
      <c r="E88" s="273">
        <f>IF(A88&lt;&gt;"","KO","")</f>
        <v/>
      </c>
      <c r="F88" s="273">
        <f>IF(A88&lt;&gt;"",""&amp;DATA_RELATIONSHIPS!F85,"")</f>
        <v/>
      </c>
      <c r="G88" s="274">
        <f>IF(A88&lt;&gt;"",DATA_RELATIONSHIPS!G85,"")</f>
        <v/>
      </c>
      <c r="H88" s="274">
        <f>IF(A88&lt;&gt;"",DATA_RELATIONSHIPS!G85,"")</f>
        <v/>
      </c>
      <c r="I88" s="273">
        <f>IF(A88&lt;&gt;"",""&amp;DATA_RELATIONSHIPS!H85,"")</f>
        <v/>
      </c>
      <c r="J88" s="273">
        <f>IF(A88&lt;&gt;"",""&amp;DATA_RELATIONSHIPS!I85,"")</f>
        <v/>
      </c>
    </row>
    <row r="89" ht="15.75" customHeight="1" s="132">
      <c r="A89" s="273">
        <f>IF(DATA_RELATIONSHIPS!B86&lt;&gt;"",""&amp;DATA_RELATIONSHIPS!B86,"")</f>
        <v/>
      </c>
      <c r="B89" s="273">
        <f>IF(A89&lt;&gt;"",""&amp;DATA_RELATIONSHIPS!C86,"")</f>
        <v/>
      </c>
      <c r="C89" s="273">
        <f>IF(A89&lt;&gt;"","KO","")</f>
        <v/>
      </c>
      <c r="D89" s="273">
        <f>IF(A89&lt;&gt;"",""&amp;DATA_RELATIONSHIPS!D86,"")</f>
        <v/>
      </c>
      <c r="E89" s="273">
        <f>IF(A89&lt;&gt;"","KO","")</f>
        <v/>
      </c>
      <c r="F89" s="273">
        <f>IF(A89&lt;&gt;"",""&amp;DATA_RELATIONSHIPS!F86,"")</f>
        <v/>
      </c>
      <c r="G89" s="274">
        <f>IF(A89&lt;&gt;"",DATA_RELATIONSHIPS!G86,"")</f>
        <v/>
      </c>
      <c r="H89" s="274">
        <f>IF(A89&lt;&gt;"",DATA_RELATIONSHIPS!G86,"")</f>
        <v/>
      </c>
      <c r="I89" s="273">
        <f>IF(A89&lt;&gt;"",""&amp;DATA_RELATIONSHIPS!H86,"")</f>
        <v/>
      </c>
      <c r="J89" s="273">
        <f>IF(A89&lt;&gt;"",""&amp;DATA_RELATIONSHIPS!I86,"")</f>
        <v/>
      </c>
    </row>
    <row r="90" ht="15.75" customHeight="1" s="132">
      <c r="A90" s="273">
        <f>IF(DATA_RELATIONSHIPS!B87&lt;&gt;"",""&amp;DATA_RELATIONSHIPS!B87,"")</f>
        <v/>
      </c>
      <c r="B90" s="273">
        <f>IF(A90&lt;&gt;"",""&amp;DATA_RELATIONSHIPS!C87,"")</f>
        <v/>
      </c>
      <c r="C90" s="273">
        <f>IF(A90&lt;&gt;"","KO","")</f>
        <v/>
      </c>
      <c r="D90" s="273">
        <f>IF(A90&lt;&gt;"",""&amp;DATA_RELATIONSHIPS!D87,"")</f>
        <v/>
      </c>
      <c r="E90" s="273">
        <f>IF(A90&lt;&gt;"","KO","")</f>
        <v/>
      </c>
      <c r="F90" s="273">
        <f>IF(A90&lt;&gt;"",""&amp;DATA_RELATIONSHIPS!F87,"")</f>
        <v/>
      </c>
      <c r="G90" s="274">
        <f>IF(A90&lt;&gt;"",DATA_RELATIONSHIPS!G87,"")</f>
        <v/>
      </c>
      <c r="H90" s="274">
        <f>IF(A90&lt;&gt;"",DATA_RELATIONSHIPS!G87,"")</f>
        <v/>
      </c>
      <c r="I90" s="273">
        <f>IF(A90&lt;&gt;"",""&amp;DATA_RELATIONSHIPS!H87,"")</f>
        <v/>
      </c>
      <c r="J90" s="273">
        <f>IF(A90&lt;&gt;"",""&amp;DATA_RELATIONSHIPS!I87,"")</f>
        <v/>
      </c>
    </row>
    <row r="91" ht="15.75" customHeight="1" s="132">
      <c r="A91" s="273">
        <f>IF(DATA_RELATIONSHIPS!B88&lt;&gt;"",""&amp;DATA_RELATIONSHIPS!B88,"")</f>
        <v/>
      </c>
      <c r="B91" s="273">
        <f>IF(A91&lt;&gt;"",""&amp;DATA_RELATIONSHIPS!C88,"")</f>
        <v/>
      </c>
      <c r="C91" s="273">
        <f>IF(A91&lt;&gt;"","KO","")</f>
        <v/>
      </c>
      <c r="D91" s="273">
        <f>IF(A91&lt;&gt;"",""&amp;DATA_RELATIONSHIPS!D88,"")</f>
        <v/>
      </c>
      <c r="E91" s="273">
        <f>IF(A91&lt;&gt;"","KO","")</f>
        <v/>
      </c>
      <c r="F91" s="273">
        <f>IF(A91&lt;&gt;"",""&amp;DATA_RELATIONSHIPS!F88,"")</f>
        <v/>
      </c>
      <c r="G91" s="274">
        <f>IF(A91&lt;&gt;"",DATA_RELATIONSHIPS!G88,"")</f>
        <v/>
      </c>
      <c r="H91" s="274">
        <f>IF(A91&lt;&gt;"",DATA_RELATIONSHIPS!G88,"")</f>
        <v/>
      </c>
      <c r="I91" s="273">
        <f>IF(A91&lt;&gt;"",""&amp;DATA_RELATIONSHIPS!H88,"")</f>
        <v/>
      </c>
      <c r="J91" s="273">
        <f>IF(A91&lt;&gt;"",""&amp;DATA_RELATIONSHIPS!I88,"")</f>
        <v/>
      </c>
    </row>
    <row r="92" ht="15.75" customHeight="1" s="132">
      <c r="A92" s="273">
        <f>IF(DATA_RELATIONSHIPS!B89&lt;&gt;"",""&amp;DATA_RELATIONSHIPS!B89,"")</f>
        <v/>
      </c>
      <c r="B92" s="273">
        <f>IF(A92&lt;&gt;"",""&amp;DATA_RELATIONSHIPS!C89,"")</f>
        <v/>
      </c>
      <c r="C92" s="273">
        <f>IF(A92&lt;&gt;"","KO","")</f>
        <v/>
      </c>
      <c r="D92" s="273">
        <f>IF(A92&lt;&gt;"",""&amp;DATA_RELATIONSHIPS!D89,"")</f>
        <v/>
      </c>
      <c r="E92" s="273">
        <f>IF(A92&lt;&gt;"","KO","")</f>
        <v/>
      </c>
      <c r="F92" s="273">
        <f>IF(A92&lt;&gt;"",""&amp;DATA_RELATIONSHIPS!F89,"")</f>
        <v/>
      </c>
      <c r="G92" s="274">
        <f>IF(A92&lt;&gt;"",DATA_RELATIONSHIPS!G89,"")</f>
        <v/>
      </c>
      <c r="H92" s="274">
        <f>IF(A92&lt;&gt;"",DATA_RELATIONSHIPS!G89,"")</f>
        <v/>
      </c>
      <c r="I92" s="273">
        <f>IF(A92&lt;&gt;"",""&amp;DATA_RELATIONSHIPS!H89,"")</f>
        <v/>
      </c>
      <c r="J92" s="273">
        <f>IF(A92&lt;&gt;"",""&amp;DATA_RELATIONSHIPS!I89,"")</f>
        <v/>
      </c>
    </row>
    <row r="93" ht="15.75" customHeight="1" s="132">
      <c r="A93" s="273">
        <f>IF(DATA_RELATIONSHIPS!B90&lt;&gt;"",""&amp;DATA_RELATIONSHIPS!B90,"")</f>
        <v/>
      </c>
      <c r="B93" s="273">
        <f>IF(A93&lt;&gt;"",""&amp;DATA_RELATIONSHIPS!C90,"")</f>
        <v/>
      </c>
      <c r="C93" s="273">
        <f>IF(A93&lt;&gt;"","KO","")</f>
        <v/>
      </c>
      <c r="D93" s="273">
        <f>IF(A93&lt;&gt;"",""&amp;DATA_RELATIONSHIPS!D90,"")</f>
        <v/>
      </c>
      <c r="E93" s="273">
        <f>IF(A93&lt;&gt;"","KO","")</f>
        <v/>
      </c>
      <c r="F93" s="273">
        <f>IF(A93&lt;&gt;"",""&amp;DATA_RELATIONSHIPS!F90,"")</f>
        <v/>
      </c>
      <c r="G93" s="274">
        <f>IF(A93&lt;&gt;"",DATA_RELATIONSHIPS!G90,"")</f>
        <v/>
      </c>
      <c r="H93" s="274">
        <f>IF(A93&lt;&gt;"",DATA_RELATIONSHIPS!G90,"")</f>
        <v/>
      </c>
      <c r="I93" s="273">
        <f>IF(A93&lt;&gt;"",""&amp;DATA_RELATIONSHIPS!H90,"")</f>
        <v/>
      </c>
      <c r="J93" s="273">
        <f>IF(A93&lt;&gt;"",""&amp;DATA_RELATIONSHIPS!I90,"")</f>
        <v/>
      </c>
    </row>
    <row r="94" ht="15.75" customHeight="1" s="132">
      <c r="A94" s="273">
        <f>IF(DATA_RELATIONSHIPS!B91&lt;&gt;"",""&amp;DATA_RELATIONSHIPS!B91,"")</f>
        <v/>
      </c>
      <c r="B94" s="273">
        <f>IF(A94&lt;&gt;"",""&amp;DATA_RELATIONSHIPS!C91,"")</f>
        <v/>
      </c>
      <c r="C94" s="273">
        <f>IF(A94&lt;&gt;"","KO","")</f>
        <v/>
      </c>
      <c r="D94" s="273">
        <f>IF(A94&lt;&gt;"",""&amp;DATA_RELATIONSHIPS!D91,"")</f>
        <v/>
      </c>
      <c r="E94" s="273">
        <f>IF(A94&lt;&gt;"","KO","")</f>
        <v/>
      </c>
      <c r="F94" s="273">
        <f>IF(A94&lt;&gt;"",""&amp;DATA_RELATIONSHIPS!F91,"")</f>
        <v/>
      </c>
      <c r="G94" s="274">
        <f>IF(A94&lt;&gt;"",DATA_RELATIONSHIPS!G91,"")</f>
        <v/>
      </c>
      <c r="H94" s="274">
        <f>IF(A94&lt;&gt;"",DATA_RELATIONSHIPS!G91,"")</f>
        <v/>
      </c>
      <c r="I94" s="273">
        <f>IF(A94&lt;&gt;"",""&amp;DATA_RELATIONSHIPS!H91,"")</f>
        <v/>
      </c>
      <c r="J94" s="273">
        <f>IF(A94&lt;&gt;"",""&amp;DATA_RELATIONSHIPS!I91,"")</f>
        <v/>
      </c>
    </row>
    <row r="95" ht="15.75" customHeight="1" s="132">
      <c r="A95" s="273">
        <f>IF(DATA_RELATIONSHIPS!B92&lt;&gt;"",""&amp;DATA_RELATIONSHIPS!B92,"")</f>
        <v/>
      </c>
      <c r="B95" s="273">
        <f>IF(A95&lt;&gt;"",""&amp;DATA_RELATIONSHIPS!C92,"")</f>
        <v/>
      </c>
      <c r="C95" s="273">
        <f>IF(A95&lt;&gt;"","KO","")</f>
        <v/>
      </c>
      <c r="D95" s="273">
        <f>IF(A95&lt;&gt;"",""&amp;DATA_RELATIONSHIPS!D92,"")</f>
        <v/>
      </c>
      <c r="E95" s="273">
        <f>IF(A95&lt;&gt;"","KO","")</f>
        <v/>
      </c>
      <c r="F95" s="273">
        <f>IF(A95&lt;&gt;"",""&amp;DATA_RELATIONSHIPS!F92,"")</f>
        <v/>
      </c>
      <c r="G95" s="274">
        <f>IF(A95&lt;&gt;"",DATA_RELATIONSHIPS!G92,"")</f>
        <v/>
      </c>
      <c r="H95" s="274">
        <f>IF(A95&lt;&gt;"",DATA_RELATIONSHIPS!G92,"")</f>
        <v/>
      </c>
      <c r="I95" s="273">
        <f>IF(A95&lt;&gt;"",""&amp;DATA_RELATIONSHIPS!H92,"")</f>
        <v/>
      </c>
      <c r="J95" s="273">
        <f>IF(A95&lt;&gt;"",""&amp;DATA_RELATIONSHIPS!I92,"")</f>
        <v/>
      </c>
    </row>
    <row r="96" ht="15.75" customHeight="1" s="132">
      <c r="A96" s="273">
        <f>IF(DATA_RELATIONSHIPS!B93&lt;&gt;"",""&amp;DATA_RELATIONSHIPS!B93,"")</f>
        <v/>
      </c>
      <c r="B96" s="273">
        <f>IF(A96&lt;&gt;"",""&amp;DATA_RELATIONSHIPS!C93,"")</f>
        <v/>
      </c>
      <c r="C96" s="273">
        <f>IF(A96&lt;&gt;"","KO","")</f>
        <v/>
      </c>
      <c r="D96" s="273">
        <f>IF(A96&lt;&gt;"",""&amp;DATA_RELATIONSHIPS!D93,"")</f>
        <v/>
      </c>
      <c r="E96" s="273">
        <f>IF(A96&lt;&gt;"","KO","")</f>
        <v/>
      </c>
      <c r="F96" s="273">
        <f>IF(A96&lt;&gt;"",""&amp;DATA_RELATIONSHIPS!F93,"")</f>
        <v/>
      </c>
      <c r="G96" s="274">
        <f>IF(A96&lt;&gt;"",DATA_RELATIONSHIPS!G93,"")</f>
        <v/>
      </c>
      <c r="H96" s="274">
        <f>IF(A96&lt;&gt;"",DATA_RELATIONSHIPS!G93,"")</f>
        <v/>
      </c>
      <c r="I96" s="273">
        <f>IF(A96&lt;&gt;"",""&amp;DATA_RELATIONSHIPS!H93,"")</f>
        <v/>
      </c>
      <c r="J96" s="273">
        <f>IF(A96&lt;&gt;"",""&amp;DATA_RELATIONSHIPS!I93,"")</f>
        <v/>
      </c>
    </row>
    <row r="97" ht="15.75" customHeight="1" s="132">
      <c r="A97" s="273">
        <f>IF(DATA_RELATIONSHIPS!B94&lt;&gt;"",""&amp;DATA_RELATIONSHIPS!B94,"")</f>
        <v/>
      </c>
      <c r="B97" s="273">
        <f>IF(A97&lt;&gt;"",""&amp;DATA_RELATIONSHIPS!C94,"")</f>
        <v/>
      </c>
      <c r="C97" s="273">
        <f>IF(A97&lt;&gt;"","KO","")</f>
        <v/>
      </c>
      <c r="D97" s="273">
        <f>IF(A97&lt;&gt;"",""&amp;DATA_RELATIONSHIPS!D94,"")</f>
        <v/>
      </c>
      <c r="E97" s="273">
        <f>IF(A97&lt;&gt;"","KO","")</f>
        <v/>
      </c>
      <c r="F97" s="273">
        <f>IF(A97&lt;&gt;"",""&amp;DATA_RELATIONSHIPS!F94,"")</f>
        <v/>
      </c>
      <c r="G97" s="274">
        <f>IF(A97&lt;&gt;"",DATA_RELATIONSHIPS!G94,"")</f>
        <v/>
      </c>
      <c r="H97" s="274">
        <f>IF(A97&lt;&gt;"",DATA_RELATIONSHIPS!G94,"")</f>
        <v/>
      </c>
      <c r="I97" s="273">
        <f>IF(A97&lt;&gt;"",""&amp;DATA_RELATIONSHIPS!H94,"")</f>
        <v/>
      </c>
      <c r="J97" s="273">
        <f>IF(A97&lt;&gt;"",""&amp;DATA_RELATIONSHIPS!I94,"")</f>
        <v/>
      </c>
    </row>
    <row r="98" ht="15.75" customHeight="1" s="132">
      <c r="A98" s="273">
        <f>IF(DATA_RELATIONSHIPS!B95&lt;&gt;"",""&amp;DATA_RELATIONSHIPS!B95,"")</f>
        <v/>
      </c>
      <c r="B98" s="273">
        <f>IF(A98&lt;&gt;"",""&amp;DATA_RELATIONSHIPS!C95,"")</f>
        <v/>
      </c>
      <c r="C98" s="273">
        <f>IF(A98&lt;&gt;"","KO","")</f>
        <v/>
      </c>
      <c r="D98" s="273">
        <f>IF(A98&lt;&gt;"",""&amp;DATA_RELATIONSHIPS!D95,"")</f>
        <v/>
      </c>
      <c r="E98" s="273">
        <f>IF(A98&lt;&gt;"","KO","")</f>
        <v/>
      </c>
      <c r="F98" s="273">
        <f>IF(A98&lt;&gt;"",""&amp;DATA_RELATIONSHIPS!F95,"")</f>
        <v/>
      </c>
      <c r="G98" s="274">
        <f>IF(A98&lt;&gt;"",DATA_RELATIONSHIPS!G95,"")</f>
        <v/>
      </c>
      <c r="H98" s="274">
        <f>IF(A98&lt;&gt;"",DATA_RELATIONSHIPS!G95,"")</f>
        <v/>
      </c>
      <c r="I98" s="273">
        <f>IF(A98&lt;&gt;"",""&amp;DATA_RELATIONSHIPS!H95,"")</f>
        <v/>
      </c>
      <c r="J98" s="273">
        <f>IF(A98&lt;&gt;"",""&amp;DATA_RELATIONSHIPS!I95,"")</f>
        <v/>
      </c>
    </row>
    <row r="99" ht="15.75" customHeight="1" s="132">
      <c r="A99" s="273">
        <f>IF(DATA_RELATIONSHIPS!B96&lt;&gt;"",""&amp;DATA_RELATIONSHIPS!B96,"")</f>
        <v/>
      </c>
      <c r="B99" s="273">
        <f>IF(A99&lt;&gt;"",""&amp;DATA_RELATIONSHIPS!C96,"")</f>
        <v/>
      </c>
      <c r="C99" s="273">
        <f>IF(A99&lt;&gt;"","KO","")</f>
        <v/>
      </c>
      <c r="D99" s="273">
        <f>IF(A99&lt;&gt;"",""&amp;DATA_RELATIONSHIPS!D96,"")</f>
        <v/>
      </c>
      <c r="E99" s="273">
        <f>IF(A99&lt;&gt;"","KO","")</f>
        <v/>
      </c>
      <c r="F99" s="273">
        <f>IF(A99&lt;&gt;"",""&amp;DATA_RELATIONSHIPS!F96,"")</f>
        <v/>
      </c>
      <c r="G99" s="274">
        <f>IF(A99&lt;&gt;"",DATA_RELATIONSHIPS!G96,"")</f>
        <v/>
      </c>
      <c r="H99" s="274">
        <f>IF(A99&lt;&gt;"",DATA_RELATIONSHIPS!G96,"")</f>
        <v/>
      </c>
      <c r="I99" s="273">
        <f>IF(A99&lt;&gt;"",""&amp;DATA_RELATIONSHIPS!H96,"")</f>
        <v/>
      </c>
      <c r="J99" s="273">
        <f>IF(A99&lt;&gt;"",""&amp;DATA_RELATIONSHIPS!I96,"")</f>
        <v/>
      </c>
    </row>
    <row r="100" ht="15.75" customHeight="1" s="132">
      <c r="A100" s="273">
        <f>IF(DATA_RELATIONSHIPS!B97&lt;&gt;"",""&amp;DATA_RELATIONSHIPS!B97,"")</f>
        <v/>
      </c>
      <c r="B100" s="273">
        <f>IF(A100&lt;&gt;"",""&amp;DATA_RELATIONSHIPS!C97,"")</f>
        <v/>
      </c>
      <c r="C100" s="273">
        <f>IF(A100&lt;&gt;"","KO","")</f>
        <v/>
      </c>
      <c r="D100" s="273">
        <f>IF(A100&lt;&gt;"",""&amp;DATA_RELATIONSHIPS!D97,"")</f>
        <v/>
      </c>
      <c r="E100" s="273">
        <f>IF(A100&lt;&gt;"","KO","")</f>
        <v/>
      </c>
      <c r="F100" s="273">
        <f>IF(A100&lt;&gt;"",""&amp;DATA_RELATIONSHIPS!F97,"")</f>
        <v/>
      </c>
      <c r="G100" s="274">
        <f>IF(A100&lt;&gt;"",DATA_RELATIONSHIPS!G97,"")</f>
        <v/>
      </c>
      <c r="H100" s="274">
        <f>IF(A100&lt;&gt;"",DATA_RELATIONSHIPS!G97,"")</f>
        <v/>
      </c>
      <c r="I100" s="273">
        <f>IF(A100&lt;&gt;"",""&amp;DATA_RELATIONSHIPS!H97,"")</f>
        <v/>
      </c>
      <c r="J100" s="273">
        <f>IF(A100&lt;&gt;"",""&amp;DATA_RELATIONSHIPS!I97,"")</f>
        <v/>
      </c>
    </row>
    <row r="101" ht="15.75" customHeight="1" s="132">
      <c r="A101" s="273">
        <f>IF(DATA_RELATIONSHIPS!B98&lt;&gt;"",""&amp;DATA_RELATIONSHIPS!B98,"")</f>
        <v/>
      </c>
      <c r="B101" s="273">
        <f>IF(A101&lt;&gt;"",""&amp;DATA_RELATIONSHIPS!C98,"")</f>
        <v/>
      </c>
      <c r="C101" s="273">
        <f>IF(A101&lt;&gt;"","KO","")</f>
        <v/>
      </c>
      <c r="D101" s="273">
        <f>IF(A101&lt;&gt;"",""&amp;DATA_RELATIONSHIPS!D98,"")</f>
        <v/>
      </c>
      <c r="E101" s="273">
        <f>IF(A101&lt;&gt;"","KO","")</f>
        <v/>
      </c>
      <c r="F101" s="273">
        <f>IF(A101&lt;&gt;"",""&amp;DATA_RELATIONSHIPS!F98,"")</f>
        <v/>
      </c>
      <c r="G101" s="274">
        <f>IF(A101&lt;&gt;"",DATA_RELATIONSHIPS!G98,"")</f>
        <v/>
      </c>
      <c r="H101" s="274">
        <f>IF(A101&lt;&gt;"",DATA_RELATIONSHIPS!G98,"")</f>
        <v/>
      </c>
      <c r="I101" s="273">
        <f>IF(A101&lt;&gt;"",""&amp;DATA_RELATIONSHIPS!H98,"")</f>
        <v/>
      </c>
      <c r="J101" s="273">
        <f>IF(A101&lt;&gt;"",""&amp;DATA_RELATIONSHIPS!I98,"")</f>
        <v/>
      </c>
    </row>
    <row r="102" ht="15.75" customHeight="1" s="132">
      <c r="A102" s="273">
        <f>IF(DATA_RELATIONSHIPS!B99&lt;&gt;"",""&amp;DATA_RELATIONSHIPS!B99,"")</f>
        <v/>
      </c>
      <c r="B102" s="273">
        <f>IF(A102&lt;&gt;"",""&amp;DATA_RELATIONSHIPS!C99,"")</f>
        <v/>
      </c>
      <c r="C102" s="273">
        <f>IF(A102&lt;&gt;"","KO","")</f>
        <v/>
      </c>
      <c r="D102" s="273">
        <f>IF(A102&lt;&gt;"",""&amp;DATA_RELATIONSHIPS!D99,"")</f>
        <v/>
      </c>
      <c r="E102" s="273">
        <f>IF(A102&lt;&gt;"","KO","")</f>
        <v/>
      </c>
      <c r="F102" s="273">
        <f>IF(A102&lt;&gt;"",""&amp;DATA_RELATIONSHIPS!F99,"")</f>
        <v/>
      </c>
      <c r="G102" s="274">
        <f>IF(A102&lt;&gt;"",DATA_RELATIONSHIPS!G99,"")</f>
        <v/>
      </c>
      <c r="H102" s="274">
        <f>IF(A102&lt;&gt;"",DATA_RELATIONSHIPS!G99,"")</f>
        <v/>
      </c>
      <c r="I102" s="273">
        <f>IF(A102&lt;&gt;"",""&amp;DATA_RELATIONSHIPS!H99,"")</f>
        <v/>
      </c>
      <c r="J102" s="273">
        <f>IF(A102&lt;&gt;"",""&amp;DATA_RELATIONSHIPS!I99,"")</f>
        <v/>
      </c>
    </row>
    <row r="103" ht="15.75" customHeight="1" s="132">
      <c r="A103" s="273">
        <f>IF(DATA_RELATIONSHIPS!B100&lt;&gt;"",""&amp;DATA_RELATIONSHIPS!B100,"")</f>
        <v/>
      </c>
      <c r="B103" s="273">
        <f>IF(A103&lt;&gt;"",""&amp;DATA_RELATIONSHIPS!C100,"")</f>
        <v/>
      </c>
      <c r="C103" s="273">
        <f>IF(A103&lt;&gt;"","KO","")</f>
        <v/>
      </c>
      <c r="D103" s="273">
        <f>IF(A103&lt;&gt;"",""&amp;DATA_RELATIONSHIPS!D100,"")</f>
        <v/>
      </c>
      <c r="E103" s="273">
        <f>IF(A103&lt;&gt;"","KO","")</f>
        <v/>
      </c>
      <c r="F103" s="273">
        <f>IF(A103&lt;&gt;"",""&amp;DATA_RELATIONSHIPS!F100,"")</f>
        <v/>
      </c>
      <c r="G103" s="274">
        <f>IF(A103&lt;&gt;"",DATA_RELATIONSHIPS!G100,"")</f>
        <v/>
      </c>
      <c r="H103" s="274">
        <f>IF(A103&lt;&gt;"",DATA_RELATIONSHIPS!G100,"")</f>
        <v/>
      </c>
      <c r="I103" s="273">
        <f>IF(A103&lt;&gt;"",""&amp;DATA_RELATIONSHIPS!H100,"")</f>
        <v/>
      </c>
      <c r="J103" s="273">
        <f>IF(A103&lt;&gt;"",""&amp;DATA_RELATIONSHIPS!I100,"")</f>
        <v/>
      </c>
    </row>
    <row r="104" ht="15.75" customHeight="1" s="132">
      <c r="A104" s="273">
        <f>IF(DATA_RELATIONSHIPS!B101&lt;&gt;"",""&amp;DATA_RELATIONSHIPS!B101,"")</f>
        <v/>
      </c>
      <c r="B104" s="273">
        <f>IF(A104&lt;&gt;"",""&amp;DATA_RELATIONSHIPS!C101,"")</f>
        <v/>
      </c>
      <c r="C104" s="273">
        <f>IF(A104&lt;&gt;"","KO","")</f>
        <v/>
      </c>
      <c r="D104" s="273">
        <f>IF(A104&lt;&gt;"",""&amp;DATA_RELATIONSHIPS!D101,"")</f>
        <v/>
      </c>
      <c r="E104" s="273">
        <f>IF(A104&lt;&gt;"","KO","")</f>
        <v/>
      </c>
      <c r="F104" s="273">
        <f>IF(A104&lt;&gt;"",""&amp;DATA_RELATIONSHIPS!F101,"")</f>
        <v/>
      </c>
      <c r="G104" s="274">
        <f>IF(A104&lt;&gt;"",DATA_RELATIONSHIPS!G101,"")</f>
        <v/>
      </c>
      <c r="H104" s="274">
        <f>IF(A104&lt;&gt;"",DATA_RELATIONSHIPS!G101,"")</f>
        <v/>
      </c>
      <c r="I104" s="273">
        <f>IF(A104&lt;&gt;"",""&amp;DATA_RELATIONSHIPS!H101,"")</f>
        <v/>
      </c>
      <c r="J104" s="273">
        <f>IF(A104&lt;&gt;"",""&amp;DATA_RELATIONSHIPS!I101,"")</f>
        <v/>
      </c>
    </row>
    <row r="105" ht="15.75" customHeight="1" s="132">
      <c r="A105" s="273">
        <f>IF(DATA_RELATIONSHIPS!B102&lt;&gt;"",""&amp;DATA_RELATIONSHIPS!B102,"")</f>
        <v/>
      </c>
      <c r="B105" s="273">
        <f>IF(A105&lt;&gt;"",""&amp;DATA_RELATIONSHIPS!C102,"")</f>
        <v/>
      </c>
      <c r="C105" s="273">
        <f>IF(A105&lt;&gt;"","KO","")</f>
        <v/>
      </c>
      <c r="D105" s="273">
        <f>IF(A105&lt;&gt;"",""&amp;DATA_RELATIONSHIPS!D102,"")</f>
        <v/>
      </c>
      <c r="E105" s="273">
        <f>IF(A105&lt;&gt;"","KO","")</f>
        <v/>
      </c>
      <c r="F105" s="273">
        <f>IF(A105&lt;&gt;"",""&amp;DATA_RELATIONSHIPS!F102,"")</f>
        <v/>
      </c>
      <c r="G105" s="274">
        <f>IF(A105&lt;&gt;"",DATA_RELATIONSHIPS!G102,"")</f>
        <v/>
      </c>
      <c r="H105" s="274">
        <f>IF(A105&lt;&gt;"",DATA_RELATIONSHIPS!G102,"")</f>
        <v/>
      </c>
      <c r="I105" s="273">
        <f>IF(A105&lt;&gt;"",""&amp;DATA_RELATIONSHIPS!H102,"")</f>
        <v/>
      </c>
      <c r="J105" s="273">
        <f>IF(A105&lt;&gt;"",""&amp;DATA_RELATIONSHIPS!I102,"")</f>
        <v/>
      </c>
    </row>
    <row r="106" ht="15.75" customHeight="1" s="132">
      <c r="A106" s="273">
        <f>IF(DATA_RELATIONSHIPS!B103&lt;&gt;"",""&amp;DATA_RELATIONSHIPS!B103,"")</f>
        <v/>
      </c>
      <c r="B106" s="273">
        <f>IF(A106&lt;&gt;"",""&amp;DATA_RELATIONSHIPS!C103,"")</f>
        <v/>
      </c>
      <c r="C106" s="273">
        <f>IF(A106&lt;&gt;"","KO","")</f>
        <v/>
      </c>
      <c r="D106" s="273">
        <f>IF(A106&lt;&gt;"",""&amp;DATA_RELATIONSHIPS!D103,"")</f>
        <v/>
      </c>
      <c r="E106" s="273">
        <f>IF(A106&lt;&gt;"","KO","")</f>
        <v/>
      </c>
      <c r="F106" s="273">
        <f>IF(A106&lt;&gt;"",""&amp;DATA_RELATIONSHIPS!F103,"")</f>
        <v/>
      </c>
      <c r="G106" s="274">
        <f>IF(A106&lt;&gt;"",DATA_RELATIONSHIPS!G103,"")</f>
        <v/>
      </c>
      <c r="H106" s="274">
        <f>IF(A106&lt;&gt;"",DATA_RELATIONSHIPS!G103,"")</f>
        <v/>
      </c>
      <c r="I106" s="273">
        <f>IF(A106&lt;&gt;"",""&amp;DATA_RELATIONSHIPS!H103,"")</f>
        <v/>
      </c>
      <c r="J106" s="273">
        <f>IF(A106&lt;&gt;"",""&amp;DATA_RELATIONSHIPS!I103,"")</f>
        <v/>
      </c>
    </row>
    <row r="107" ht="15.75" customHeight="1" s="132">
      <c r="A107" s="273">
        <f>IF(DATA_RELATIONSHIPS!B104&lt;&gt;"",""&amp;DATA_RELATIONSHIPS!B104,"")</f>
        <v/>
      </c>
      <c r="B107" s="273">
        <f>IF(A107&lt;&gt;"",""&amp;DATA_RELATIONSHIPS!C104,"")</f>
        <v/>
      </c>
      <c r="C107" s="273">
        <f>IF(A107&lt;&gt;"","KO","")</f>
        <v/>
      </c>
      <c r="D107" s="273">
        <f>IF(A107&lt;&gt;"",""&amp;DATA_RELATIONSHIPS!D104,"")</f>
        <v/>
      </c>
      <c r="E107" s="273">
        <f>IF(A107&lt;&gt;"","KO","")</f>
        <v/>
      </c>
      <c r="F107" s="273">
        <f>IF(A107&lt;&gt;"",""&amp;DATA_RELATIONSHIPS!F104,"")</f>
        <v/>
      </c>
      <c r="G107" s="274">
        <f>IF(A107&lt;&gt;"",DATA_RELATIONSHIPS!G104,"")</f>
        <v/>
      </c>
      <c r="H107" s="274">
        <f>IF(A107&lt;&gt;"",DATA_RELATIONSHIPS!G104,"")</f>
        <v/>
      </c>
      <c r="I107" s="273">
        <f>IF(A107&lt;&gt;"",""&amp;DATA_RELATIONSHIPS!H104,"")</f>
        <v/>
      </c>
      <c r="J107" s="273">
        <f>IF(A107&lt;&gt;"",""&amp;DATA_RELATIONSHIPS!I104,"")</f>
        <v/>
      </c>
    </row>
    <row r="108" ht="15.75" customHeight="1" s="132">
      <c r="A108" s="273">
        <f>IF(DATA_RELATIONSHIPS!B105&lt;&gt;"",""&amp;DATA_RELATIONSHIPS!B105,"")</f>
        <v/>
      </c>
      <c r="B108" s="273">
        <f>IF(A108&lt;&gt;"",""&amp;DATA_RELATIONSHIPS!C105,"")</f>
        <v/>
      </c>
      <c r="C108" s="273">
        <f>IF(A108&lt;&gt;"","KO","")</f>
        <v/>
      </c>
      <c r="D108" s="273">
        <f>IF(A108&lt;&gt;"",""&amp;DATA_RELATIONSHIPS!D105,"")</f>
        <v/>
      </c>
      <c r="E108" s="273">
        <f>IF(A108&lt;&gt;"","KO","")</f>
        <v/>
      </c>
      <c r="F108" s="273">
        <f>IF(A108&lt;&gt;"",""&amp;DATA_RELATIONSHIPS!F105,"")</f>
        <v/>
      </c>
      <c r="G108" s="274">
        <f>IF(A108&lt;&gt;"",DATA_RELATIONSHIPS!G105,"")</f>
        <v/>
      </c>
      <c r="H108" s="274">
        <f>IF(A108&lt;&gt;"",DATA_RELATIONSHIPS!G105,"")</f>
        <v/>
      </c>
      <c r="I108" s="273">
        <f>IF(A108&lt;&gt;"",""&amp;DATA_RELATIONSHIPS!H105,"")</f>
        <v/>
      </c>
      <c r="J108" s="273">
        <f>IF(A108&lt;&gt;"",""&amp;DATA_RELATIONSHIPS!I105,"")</f>
        <v/>
      </c>
    </row>
    <row r="109" ht="15.75" customHeight="1" s="132">
      <c r="A109" s="273">
        <f>IF(DATA_RELATIONSHIPS!B106&lt;&gt;"",""&amp;DATA_RELATIONSHIPS!B106,"")</f>
        <v/>
      </c>
      <c r="B109" s="273">
        <f>IF(A109&lt;&gt;"",""&amp;DATA_RELATIONSHIPS!C106,"")</f>
        <v/>
      </c>
      <c r="C109" s="273">
        <f>IF(A109&lt;&gt;"","KO","")</f>
        <v/>
      </c>
      <c r="D109" s="273">
        <f>IF(A109&lt;&gt;"",""&amp;DATA_RELATIONSHIPS!D106,"")</f>
        <v/>
      </c>
      <c r="E109" s="273">
        <f>IF(A109&lt;&gt;"","KO","")</f>
        <v/>
      </c>
      <c r="F109" s="273">
        <f>IF(A109&lt;&gt;"",""&amp;DATA_RELATIONSHIPS!F106,"")</f>
        <v/>
      </c>
      <c r="G109" s="274">
        <f>IF(A109&lt;&gt;"",DATA_RELATIONSHIPS!G106,"")</f>
        <v/>
      </c>
      <c r="H109" s="274">
        <f>IF(A109&lt;&gt;"",DATA_RELATIONSHIPS!G106,"")</f>
        <v/>
      </c>
      <c r="I109" s="273">
        <f>IF(A109&lt;&gt;"",""&amp;DATA_RELATIONSHIPS!H106,"")</f>
        <v/>
      </c>
      <c r="J109" s="273">
        <f>IF(A109&lt;&gt;"",""&amp;DATA_RELATIONSHIPS!I106,"")</f>
        <v/>
      </c>
    </row>
    <row r="110" ht="15.75" customHeight="1" s="132">
      <c r="A110" s="273">
        <f>IF(DATA_RELATIONSHIPS!B107&lt;&gt;"",""&amp;DATA_RELATIONSHIPS!B107,"")</f>
        <v/>
      </c>
      <c r="B110" s="273">
        <f>IF(A110&lt;&gt;"",""&amp;DATA_RELATIONSHIPS!C107,"")</f>
        <v/>
      </c>
      <c r="C110" s="273">
        <f>IF(A110&lt;&gt;"","KO","")</f>
        <v/>
      </c>
      <c r="D110" s="273">
        <f>IF(A110&lt;&gt;"",""&amp;DATA_RELATIONSHIPS!D107,"")</f>
        <v/>
      </c>
      <c r="E110" s="273">
        <f>IF(A110&lt;&gt;"","KO","")</f>
        <v/>
      </c>
      <c r="F110" s="273">
        <f>IF(A110&lt;&gt;"",""&amp;DATA_RELATIONSHIPS!F107,"")</f>
        <v/>
      </c>
      <c r="G110" s="274">
        <f>IF(A110&lt;&gt;"",DATA_RELATIONSHIPS!G107,"")</f>
        <v/>
      </c>
      <c r="H110" s="274">
        <f>IF(A110&lt;&gt;"",DATA_RELATIONSHIPS!G107,"")</f>
        <v/>
      </c>
      <c r="I110" s="273">
        <f>IF(A110&lt;&gt;"",""&amp;DATA_RELATIONSHIPS!H107,"")</f>
        <v/>
      </c>
      <c r="J110" s="273">
        <f>IF(A110&lt;&gt;"",""&amp;DATA_RELATIONSHIPS!I107,"")</f>
        <v/>
      </c>
    </row>
    <row r="111" ht="15.75" customHeight="1" s="132">
      <c r="A111" s="273">
        <f>IF(DATA_RELATIONSHIPS!B108&lt;&gt;"",""&amp;DATA_RELATIONSHIPS!B108,"")</f>
        <v/>
      </c>
      <c r="B111" s="273">
        <f>IF(A111&lt;&gt;"",""&amp;DATA_RELATIONSHIPS!C108,"")</f>
        <v/>
      </c>
      <c r="C111" s="273">
        <f>IF(A111&lt;&gt;"","KO","")</f>
        <v/>
      </c>
      <c r="D111" s="273">
        <f>IF(A111&lt;&gt;"",""&amp;DATA_RELATIONSHIPS!D108,"")</f>
        <v/>
      </c>
      <c r="E111" s="273">
        <f>IF(A111&lt;&gt;"","KO","")</f>
        <v/>
      </c>
      <c r="F111" s="273">
        <f>IF(A111&lt;&gt;"",""&amp;DATA_RELATIONSHIPS!F108,"")</f>
        <v/>
      </c>
      <c r="G111" s="274">
        <f>IF(A111&lt;&gt;"",DATA_RELATIONSHIPS!G108,"")</f>
        <v/>
      </c>
      <c r="H111" s="274">
        <f>IF(A111&lt;&gt;"",DATA_RELATIONSHIPS!G108,"")</f>
        <v/>
      </c>
      <c r="I111" s="273">
        <f>IF(A111&lt;&gt;"",""&amp;DATA_RELATIONSHIPS!H108,"")</f>
        <v/>
      </c>
      <c r="J111" s="273">
        <f>IF(A111&lt;&gt;"",""&amp;DATA_RELATIONSHIPS!I108,"")</f>
        <v/>
      </c>
    </row>
    <row r="112" ht="15.75" customHeight="1" s="132">
      <c r="A112" s="273">
        <f>IF(DATA_RELATIONSHIPS!B109&lt;&gt;"",""&amp;DATA_RELATIONSHIPS!B109,"")</f>
        <v/>
      </c>
      <c r="B112" s="273">
        <f>IF(A112&lt;&gt;"",""&amp;DATA_RELATIONSHIPS!C109,"")</f>
        <v/>
      </c>
      <c r="C112" s="273">
        <f>IF(A112&lt;&gt;"","KO","")</f>
        <v/>
      </c>
      <c r="D112" s="273">
        <f>IF(A112&lt;&gt;"",""&amp;DATA_RELATIONSHIPS!D109,"")</f>
        <v/>
      </c>
      <c r="E112" s="273">
        <f>IF(A112&lt;&gt;"","KO","")</f>
        <v/>
      </c>
      <c r="F112" s="273">
        <f>IF(A112&lt;&gt;"",""&amp;DATA_RELATIONSHIPS!F109,"")</f>
        <v/>
      </c>
      <c r="G112" s="274">
        <f>IF(A112&lt;&gt;"",DATA_RELATIONSHIPS!G109,"")</f>
        <v/>
      </c>
      <c r="H112" s="274">
        <f>IF(A112&lt;&gt;"",DATA_RELATIONSHIPS!G109,"")</f>
        <v/>
      </c>
      <c r="I112" s="273">
        <f>IF(A112&lt;&gt;"",""&amp;DATA_RELATIONSHIPS!H109,"")</f>
        <v/>
      </c>
      <c r="J112" s="273">
        <f>IF(A112&lt;&gt;"",""&amp;DATA_RELATIONSHIPS!I109,"")</f>
        <v/>
      </c>
    </row>
    <row r="113" ht="15.75" customHeight="1" s="132">
      <c r="A113" s="273">
        <f>IF(DATA_RELATIONSHIPS!B110&lt;&gt;"",""&amp;DATA_RELATIONSHIPS!B110,"")</f>
        <v/>
      </c>
      <c r="B113" s="273">
        <f>IF(A113&lt;&gt;"",""&amp;DATA_RELATIONSHIPS!C110,"")</f>
        <v/>
      </c>
      <c r="C113" s="273">
        <f>IF(A113&lt;&gt;"","KO","")</f>
        <v/>
      </c>
      <c r="D113" s="273">
        <f>IF(A113&lt;&gt;"",""&amp;DATA_RELATIONSHIPS!D110,"")</f>
        <v/>
      </c>
      <c r="E113" s="273">
        <f>IF(A113&lt;&gt;"","KO","")</f>
        <v/>
      </c>
      <c r="F113" s="273">
        <f>IF(A113&lt;&gt;"",""&amp;DATA_RELATIONSHIPS!F110,"")</f>
        <v/>
      </c>
      <c r="G113" s="274">
        <f>IF(A113&lt;&gt;"",DATA_RELATIONSHIPS!G110,"")</f>
        <v/>
      </c>
      <c r="H113" s="274">
        <f>IF(A113&lt;&gt;"",DATA_RELATIONSHIPS!G110,"")</f>
        <v/>
      </c>
      <c r="I113" s="273">
        <f>IF(A113&lt;&gt;"",""&amp;DATA_RELATIONSHIPS!H110,"")</f>
        <v/>
      </c>
      <c r="J113" s="273">
        <f>IF(A113&lt;&gt;"",""&amp;DATA_RELATIONSHIPS!I110,"")</f>
        <v/>
      </c>
    </row>
    <row r="114" ht="15.75" customHeight="1" s="132">
      <c r="A114" s="273">
        <f>IF(DATA_RELATIONSHIPS!B111&lt;&gt;"",""&amp;DATA_RELATIONSHIPS!B111,"")</f>
        <v/>
      </c>
      <c r="B114" s="273">
        <f>IF(A114&lt;&gt;"",""&amp;DATA_RELATIONSHIPS!C111,"")</f>
        <v/>
      </c>
      <c r="C114" s="273">
        <f>IF(A114&lt;&gt;"","KO","")</f>
        <v/>
      </c>
      <c r="D114" s="273">
        <f>IF(A114&lt;&gt;"",""&amp;DATA_RELATIONSHIPS!D111,"")</f>
        <v/>
      </c>
      <c r="E114" s="273">
        <f>IF(A114&lt;&gt;"","KO","")</f>
        <v/>
      </c>
      <c r="F114" s="273">
        <f>IF(A114&lt;&gt;"",""&amp;DATA_RELATIONSHIPS!F111,"")</f>
        <v/>
      </c>
      <c r="G114" s="274">
        <f>IF(A114&lt;&gt;"",DATA_RELATIONSHIPS!G111,"")</f>
        <v/>
      </c>
      <c r="H114" s="274">
        <f>IF(A114&lt;&gt;"",DATA_RELATIONSHIPS!G111,"")</f>
        <v/>
      </c>
      <c r="I114" s="273">
        <f>IF(A114&lt;&gt;"",""&amp;DATA_RELATIONSHIPS!H111,"")</f>
        <v/>
      </c>
      <c r="J114" s="273">
        <f>IF(A114&lt;&gt;"",""&amp;DATA_RELATIONSHIPS!I111,"")</f>
        <v/>
      </c>
    </row>
    <row r="115" ht="15.75" customHeight="1" s="132">
      <c r="A115" s="273">
        <f>IF(DATA_RELATIONSHIPS!B112&lt;&gt;"",""&amp;DATA_RELATIONSHIPS!B112,"")</f>
        <v/>
      </c>
      <c r="B115" s="273">
        <f>IF(A115&lt;&gt;"",""&amp;DATA_RELATIONSHIPS!C112,"")</f>
        <v/>
      </c>
      <c r="C115" s="273">
        <f>IF(A115&lt;&gt;"","KO","")</f>
        <v/>
      </c>
      <c r="D115" s="273">
        <f>IF(A115&lt;&gt;"",""&amp;DATA_RELATIONSHIPS!D112,"")</f>
        <v/>
      </c>
      <c r="E115" s="273">
        <f>IF(A115&lt;&gt;"","KO","")</f>
        <v/>
      </c>
      <c r="F115" s="273">
        <f>IF(A115&lt;&gt;"",""&amp;DATA_RELATIONSHIPS!F112,"")</f>
        <v/>
      </c>
      <c r="G115" s="274">
        <f>IF(A115&lt;&gt;"",DATA_RELATIONSHIPS!G112,"")</f>
        <v/>
      </c>
      <c r="H115" s="274">
        <f>IF(A115&lt;&gt;"",DATA_RELATIONSHIPS!G112,"")</f>
        <v/>
      </c>
      <c r="I115" s="273">
        <f>IF(A115&lt;&gt;"",""&amp;DATA_RELATIONSHIPS!H112,"")</f>
        <v/>
      </c>
      <c r="J115" s="273">
        <f>IF(A115&lt;&gt;"",""&amp;DATA_RELATIONSHIPS!I112,"")</f>
        <v/>
      </c>
    </row>
    <row r="116" ht="15.75" customHeight="1" s="132">
      <c r="A116" s="273">
        <f>IF(DATA_RELATIONSHIPS!B113&lt;&gt;"",""&amp;DATA_RELATIONSHIPS!B113,"")</f>
        <v/>
      </c>
      <c r="B116" s="273">
        <f>IF(A116&lt;&gt;"",""&amp;DATA_RELATIONSHIPS!C113,"")</f>
        <v/>
      </c>
      <c r="C116" s="273">
        <f>IF(A116&lt;&gt;"","KO","")</f>
        <v/>
      </c>
      <c r="D116" s="273">
        <f>IF(A116&lt;&gt;"",""&amp;DATA_RELATIONSHIPS!D113,"")</f>
        <v/>
      </c>
      <c r="E116" s="273">
        <f>IF(A116&lt;&gt;"","KO","")</f>
        <v/>
      </c>
      <c r="F116" s="273">
        <f>IF(A116&lt;&gt;"",""&amp;DATA_RELATIONSHIPS!F113,"")</f>
        <v/>
      </c>
      <c r="G116" s="274">
        <f>IF(A116&lt;&gt;"",DATA_RELATIONSHIPS!G113,"")</f>
        <v/>
      </c>
      <c r="H116" s="274">
        <f>IF(A116&lt;&gt;"",DATA_RELATIONSHIPS!G113,"")</f>
        <v/>
      </c>
      <c r="I116" s="273">
        <f>IF(A116&lt;&gt;"",""&amp;DATA_RELATIONSHIPS!H113,"")</f>
        <v/>
      </c>
      <c r="J116" s="273">
        <f>IF(A116&lt;&gt;"",""&amp;DATA_RELATIONSHIPS!I113,"")</f>
        <v/>
      </c>
    </row>
    <row r="117" ht="15.75" customHeight="1" s="132">
      <c r="A117" s="273">
        <f>IF(DATA_RELATIONSHIPS!B114&lt;&gt;"",""&amp;DATA_RELATIONSHIPS!B114,"")</f>
        <v/>
      </c>
      <c r="B117" s="273">
        <f>IF(A117&lt;&gt;"",""&amp;DATA_RELATIONSHIPS!C114,"")</f>
        <v/>
      </c>
      <c r="C117" s="273">
        <f>IF(A117&lt;&gt;"","KO","")</f>
        <v/>
      </c>
      <c r="D117" s="273">
        <f>IF(A117&lt;&gt;"",""&amp;DATA_RELATIONSHIPS!D114,"")</f>
        <v/>
      </c>
      <c r="E117" s="273">
        <f>IF(A117&lt;&gt;"","KO","")</f>
        <v/>
      </c>
      <c r="F117" s="273">
        <f>IF(A117&lt;&gt;"",""&amp;DATA_RELATIONSHIPS!F114,"")</f>
        <v/>
      </c>
      <c r="G117" s="274">
        <f>IF(A117&lt;&gt;"",DATA_RELATIONSHIPS!G114,"")</f>
        <v/>
      </c>
      <c r="H117" s="274">
        <f>IF(A117&lt;&gt;"",DATA_RELATIONSHIPS!G114,"")</f>
        <v/>
      </c>
      <c r="I117" s="273">
        <f>IF(A117&lt;&gt;"",""&amp;DATA_RELATIONSHIPS!H114,"")</f>
        <v/>
      </c>
      <c r="J117" s="273">
        <f>IF(A117&lt;&gt;"",""&amp;DATA_RELATIONSHIPS!I114,"")</f>
        <v/>
      </c>
    </row>
    <row r="118" ht="15.75" customHeight="1" s="132">
      <c r="A118" s="273">
        <f>IF(DATA_RELATIONSHIPS!B115&lt;&gt;"",""&amp;DATA_RELATIONSHIPS!B115,"")</f>
        <v/>
      </c>
      <c r="B118" s="273">
        <f>IF(A118&lt;&gt;"",""&amp;DATA_RELATIONSHIPS!C115,"")</f>
        <v/>
      </c>
      <c r="C118" s="273">
        <f>IF(A118&lt;&gt;"","KO","")</f>
        <v/>
      </c>
      <c r="D118" s="273">
        <f>IF(A118&lt;&gt;"",""&amp;DATA_RELATIONSHIPS!D115,"")</f>
        <v/>
      </c>
      <c r="E118" s="273">
        <f>IF(A118&lt;&gt;"","KO","")</f>
        <v/>
      </c>
      <c r="F118" s="273">
        <f>IF(A118&lt;&gt;"",""&amp;DATA_RELATIONSHIPS!F115,"")</f>
        <v/>
      </c>
      <c r="G118" s="274">
        <f>IF(A118&lt;&gt;"",DATA_RELATIONSHIPS!G115,"")</f>
        <v/>
      </c>
      <c r="H118" s="274">
        <f>IF(A118&lt;&gt;"",DATA_RELATIONSHIPS!G115,"")</f>
        <v/>
      </c>
      <c r="I118" s="273">
        <f>IF(A118&lt;&gt;"",""&amp;DATA_RELATIONSHIPS!H115,"")</f>
        <v/>
      </c>
      <c r="J118" s="273">
        <f>IF(A118&lt;&gt;"",""&amp;DATA_RELATIONSHIPS!I115,"")</f>
        <v/>
      </c>
    </row>
    <row r="119" ht="15.75" customHeight="1" s="132">
      <c r="A119" s="273">
        <f>IF(DATA_RELATIONSHIPS!B116&lt;&gt;"",""&amp;DATA_RELATIONSHIPS!B116,"")</f>
        <v/>
      </c>
      <c r="B119" s="273">
        <f>IF(A119&lt;&gt;"",""&amp;DATA_RELATIONSHIPS!C116,"")</f>
        <v/>
      </c>
      <c r="C119" s="273">
        <f>IF(A119&lt;&gt;"","KO","")</f>
        <v/>
      </c>
      <c r="D119" s="273">
        <f>IF(A119&lt;&gt;"",""&amp;DATA_RELATIONSHIPS!D116,"")</f>
        <v/>
      </c>
      <c r="E119" s="273">
        <f>IF(A119&lt;&gt;"","KO","")</f>
        <v/>
      </c>
      <c r="F119" s="273">
        <f>IF(A119&lt;&gt;"",""&amp;DATA_RELATIONSHIPS!F116,"")</f>
        <v/>
      </c>
      <c r="G119" s="274">
        <f>IF(A119&lt;&gt;"",DATA_RELATIONSHIPS!G116,"")</f>
        <v/>
      </c>
      <c r="H119" s="274">
        <f>IF(A119&lt;&gt;"",DATA_RELATIONSHIPS!G116,"")</f>
        <v/>
      </c>
      <c r="I119" s="273">
        <f>IF(A119&lt;&gt;"",""&amp;DATA_RELATIONSHIPS!H116,"")</f>
        <v/>
      </c>
      <c r="J119" s="273">
        <f>IF(A119&lt;&gt;"",""&amp;DATA_RELATIONSHIPS!I116,"")</f>
        <v/>
      </c>
    </row>
    <row r="120" ht="15.75" customHeight="1" s="132">
      <c r="A120" s="273">
        <f>IF(DATA_RELATIONSHIPS!B117&lt;&gt;"",""&amp;DATA_RELATIONSHIPS!B117,"")</f>
        <v/>
      </c>
      <c r="B120" s="273">
        <f>IF(A120&lt;&gt;"",""&amp;DATA_RELATIONSHIPS!C117,"")</f>
        <v/>
      </c>
      <c r="C120" s="273">
        <f>IF(A120&lt;&gt;"","KO","")</f>
        <v/>
      </c>
      <c r="D120" s="273">
        <f>IF(A120&lt;&gt;"",""&amp;DATA_RELATIONSHIPS!D117,"")</f>
        <v/>
      </c>
      <c r="E120" s="273">
        <f>IF(A120&lt;&gt;"","KO","")</f>
        <v/>
      </c>
      <c r="F120" s="273">
        <f>IF(A120&lt;&gt;"",""&amp;DATA_RELATIONSHIPS!F117,"")</f>
        <v/>
      </c>
      <c r="G120" s="274">
        <f>IF(A120&lt;&gt;"",DATA_RELATIONSHIPS!G117,"")</f>
        <v/>
      </c>
      <c r="H120" s="274">
        <f>IF(A120&lt;&gt;"",DATA_RELATIONSHIPS!G117,"")</f>
        <v/>
      </c>
      <c r="I120" s="273">
        <f>IF(A120&lt;&gt;"",""&amp;DATA_RELATIONSHIPS!H117,"")</f>
        <v/>
      </c>
      <c r="J120" s="273">
        <f>IF(A120&lt;&gt;"",""&amp;DATA_RELATIONSHIPS!I117,"")</f>
        <v/>
      </c>
    </row>
    <row r="121" ht="15.75" customHeight="1" s="132">
      <c r="A121" s="273">
        <f>IF(DATA_RELATIONSHIPS!B118&lt;&gt;"",""&amp;DATA_RELATIONSHIPS!B118,"")</f>
        <v/>
      </c>
      <c r="B121" s="273">
        <f>IF(A121&lt;&gt;"",""&amp;DATA_RELATIONSHIPS!C118,"")</f>
        <v/>
      </c>
      <c r="C121" s="273">
        <f>IF(A121&lt;&gt;"","KO","")</f>
        <v/>
      </c>
      <c r="D121" s="273">
        <f>IF(A121&lt;&gt;"",""&amp;DATA_RELATIONSHIPS!D118,"")</f>
        <v/>
      </c>
      <c r="E121" s="273">
        <f>IF(A121&lt;&gt;"","KO","")</f>
        <v/>
      </c>
      <c r="F121" s="273">
        <f>IF(A121&lt;&gt;"",""&amp;DATA_RELATIONSHIPS!F118,"")</f>
        <v/>
      </c>
      <c r="G121" s="274">
        <f>IF(A121&lt;&gt;"",DATA_RELATIONSHIPS!G118,"")</f>
        <v/>
      </c>
      <c r="H121" s="274">
        <f>IF(A121&lt;&gt;"",DATA_RELATIONSHIPS!G118,"")</f>
        <v/>
      </c>
      <c r="I121" s="273">
        <f>IF(A121&lt;&gt;"",""&amp;DATA_RELATIONSHIPS!H118,"")</f>
        <v/>
      </c>
      <c r="J121" s="273">
        <f>IF(A121&lt;&gt;"",""&amp;DATA_RELATIONSHIPS!I118,"")</f>
        <v/>
      </c>
    </row>
    <row r="122" ht="15.75" customHeight="1" s="132">
      <c r="A122" s="273">
        <f>IF(DATA_RELATIONSHIPS!B119&lt;&gt;"",""&amp;DATA_RELATIONSHIPS!B119,"")</f>
        <v/>
      </c>
      <c r="B122" s="273">
        <f>IF(A122&lt;&gt;"",""&amp;DATA_RELATIONSHIPS!C119,"")</f>
        <v/>
      </c>
      <c r="C122" s="273">
        <f>IF(A122&lt;&gt;"","KO","")</f>
        <v/>
      </c>
      <c r="D122" s="273">
        <f>IF(A122&lt;&gt;"",""&amp;DATA_RELATIONSHIPS!D119,"")</f>
        <v/>
      </c>
      <c r="E122" s="273">
        <f>IF(A122&lt;&gt;"","KO","")</f>
        <v/>
      </c>
      <c r="F122" s="273">
        <f>IF(A122&lt;&gt;"",""&amp;DATA_RELATIONSHIPS!F119,"")</f>
        <v/>
      </c>
      <c r="G122" s="274">
        <f>IF(A122&lt;&gt;"",DATA_RELATIONSHIPS!G119,"")</f>
        <v/>
      </c>
      <c r="H122" s="274">
        <f>IF(A122&lt;&gt;"",DATA_RELATIONSHIPS!G119,"")</f>
        <v/>
      </c>
      <c r="I122" s="273">
        <f>IF(A122&lt;&gt;"",""&amp;DATA_RELATIONSHIPS!H119,"")</f>
        <v/>
      </c>
      <c r="J122" s="273">
        <f>IF(A122&lt;&gt;"",""&amp;DATA_RELATIONSHIPS!I119,"")</f>
        <v/>
      </c>
    </row>
    <row r="123" ht="15.75" customHeight="1" s="132">
      <c r="A123" s="273">
        <f>IF(DATA_RELATIONSHIPS!B120&lt;&gt;"",""&amp;DATA_RELATIONSHIPS!B120,"")</f>
        <v/>
      </c>
      <c r="B123" s="273">
        <f>IF(A123&lt;&gt;"",""&amp;DATA_RELATIONSHIPS!C120,"")</f>
        <v/>
      </c>
      <c r="C123" s="273">
        <f>IF(A123&lt;&gt;"","KO","")</f>
        <v/>
      </c>
      <c r="D123" s="273">
        <f>IF(A123&lt;&gt;"",""&amp;DATA_RELATIONSHIPS!D120,"")</f>
        <v/>
      </c>
      <c r="E123" s="273">
        <f>IF(A123&lt;&gt;"","KO","")</f>
        <v/>
      </c>
      <c r="F123" s="273">
        <f>IF(A123&lt;&gt;"",""&amp;DATA_RELATIONSHIPS!F120,"")</f>
        <v/>
      </c>
      <c r="G123" s="274">
        <f>IF(A123&lt;&gt;"",DATA_RELATIONSHIPS!G120,"")</f>
        <v/>
      </c>
      <c r="H123" s="274">
        <f>IF(A123&lt;&gt;"",DATA_RELATIONSHIPS!G120,"")</f>
        <v/>
      </c>
      <c r="I123" s="273">
        <f>IF(A123&lt;&gt;"",""&amp;DATA_RELATIONSHIPS!H120,"")</f>
        <v/>
      </c>
      <c r="J123" s="273">
        <f>IF(A123&lt;&gt;"",""&amp;DATA_RELATIONSHIPS!I120,"")</f>
        <v/>
      </c>
    </row>
    <row r="124" ht="15.75" customHeight="1" s="132">
      <c r="A124" s="273">
        <f>IF(DATA_RELATIONSHIPS!B121&lt;&gt;"",""&amp;DATA_RELATIONSHIPS!B121,"")</f>
        <v/>
      </c>
      <c r="B124" s="273">
        <f>IF(A124&lt;&gt;"",""&amp;DATA_RELATIONSHIPS!C121,"")</f>
        <v/>
      </c>
      <c r="C124" s="273">
        <f>IF(A124&lt;&gt;"","KO","")</f>
        <v/>
      </c>
      <c r="D124" s="273">
        <f>IF(A124&lt;&gt;"",""&amp;DATA_RELATIONSHIPS!D121,"")</f>
        <v/>
      </c>
      <c r="E124" s="273">
        <f>IF(A124&lt;&gt;"","KO","")</f>
        <v/>
      </c>
      <c r="F124" s="273">
        <f>IF(A124&lt;&gt;"",""&amp;DATA_RELATIONSHIPS!F121,"")</f>
        <v/>
      </c>
      <c r="G124" s="274">
        <f>IF(A124&lt;&gt;"",DATA_RELATIONSHIPS!G121,"")</f>
        <v/>
      </c>
      <c r="H124" s="274">
        <f>IF(A124&lt;&gt;"",DATA_RELATIONSHIPS!G121,"")</f>
        <v/>
      </c>
      <c r="I124" s="273">
        <f>IF(A124&lt;&gt;"",""&amp;DATA_RELATIONSHIPS!H121,"")</f>
        <v/>
      </c>
      <c r="J124" s="273">
        <f>IF(A124&lt;&gt;"",""&amp;DATA_RELATIONSHIPS!I121,"")</f>
        <v/>
      </c>
    </row>
    <row r="125" ht="15.75" customHeight="1" s="132">
      <c r="A125" s="273">
        <f>IF(DATA_RELATIONSHIPS!B122&lt;&gt;"",""&amp;DATA_RELATIONSHIPS!B122,"")</f>
        <v/>
      </c>
      <c r="B125" s="273">
        <f>IF(A125&lt;&gt;"",""&amp;DATA_RELATIONSHIPS!C122,"")</f>
        <v/>
      </c>
      <c r="C125" s="273">
        <f>IF(A125&lt;&gt;"","KO","")</f>
        <v/>
      </c>
      <c r="D125" s="273">
        <f>IF(A125&lt;&gt;"",""&amp;DATA_RELATIONSHIPS!D122,"")</f>
        <v/>
      </c>
      <c r="E125" s="273">
        <f>IF(A125&lt;&gt;"","KO","")</f>
        <v/>
      </c>
      <c r="F125" s="273">
        <f>IF(A125&lt;&gt;"",""&amp;DATA_RELATIONSHIPS!F122,"")</f>
        <v/>
      </c>
      <c r="G125" s="274">
        <f>IF(A125&lt;&gt;"",DATA_RELATIONSHIPS!G122,"")</f>
        <v/>
      </c>
      <c r="H125" s="274">
        <f>IF(A125&lt;&gt;"",DATA_RELATIONSHIPS!G122,"")</f>
        <v/>
      </c>
      <c r="I125" s="273">
        <f>IF(A125&lt;&gt;"",""&amp;DATA_RELATIONSHIPS!H122,"")</f>
        <v/>
      </c>
      <c r="J125" s="273">
        <f>IF(A125&lt;&gt;"",""&amp;DATA_RELATIONSHIPS!I122,"")</f>
        <v/>
      </c>
    </row>
    <row r="126" ht="15.75" customHeight="1" s="132">
      <c r="A126" s="273">
        <f>IF(DATA_RELATIONSHIPS!B123&lt;&gt;"",""&amp;DATA_RELATIONSHIPS!B123,"")</f>
        <v/>
      </c>
      <c r="B126" s="273">
        <f>IF(A126&lt;&gt;"",""&amp;DATA_RELATIONSHIPS!C123,"")</f>
        <v/>
      </c>
      <c r="C126" s="273">
        <f>IF(A126&lt;&gt;"","KO","")</f>
        <v/>
      </c>
      <c r="D126" s="273">
        <f>IF(A126&lt;&gt;"",""&amp;DATA_RELATIONSHIPS!D123,"")</f>
        <v/>
      </c>
      <c r="E126" s="273">
        <f>IF(A126&lt;&gt;"","KO","")</f>
        <v/>
      </c>
      <c r="F126" s="273">
        <f>IF(A126&lt;&gt;"",""&amp;DATA_RELATIONSHIPS!F123,"")</f>
        <v/>
      </c>
      <c r="G126" s="274">
        <f>IF(A126&lt;&gt;"",DATA_RELATIONSHIPS!G123,"")</f>
        <v/>
      </c>
      <c r="H126" s="274">
        <f>IF(A126&lt;&gt;"",DATA_RELATIONSHIPS!G123,"")</f>
        <v/>
      </c>
      <c r="I126" s="273">
        <f>IF(A126&lt;&gt;"",""&amp;DATA_RELATIONSHIPS!H123,"")</f>
        <v/>
      </c>
      <c r="J126" s="273">
        <f>IF(A126&lt;&gt;"",""&amp;DATA_RELATIONSHIPS!I123,"")</f>
        <v/>
      </c>
    </row>
    <row r="127" ht="15.75" customHeight="1" s="132">
      <c r="A127" s="273">
        <f>IF(DATA_RELATIONSHIPS!B124&lt;&gt;"",""&amp;DATA_RELATIONSHIPS!B124,"")</f>
        <v/>
      </c>
      <c r="B127" s="273">
        <f>IF(A127&lt;&gt;"",""&amp;DATA_RELATIONSHIPS!C124,"")</f>
        <v/>
      </c>
      <c r="C127" s="273">
        <f>IF(A127&lt;&gt;"","KO","")</f>
        <v/>
      </c>
      <c r="D127" s="273">
        <f>IF(A127&lt;&gt;"",""&amp;DATA_RELATIONSHIPS!D124,"")</f>
        <v/>
      </c>
      <c r="E127" s="273">
        <f>IF(A127&lt;&gt;"","KO","")</f>
        <v/>
      </c>
      <c r="F127" s="273">
        <f>IF(A127&lt;&gt;"",""&amp;DATA_RELATIONSHIPS!F124,"")</f>
        <v/>
      </c>
      <c r="G127" s="274">
        <f>IF(A127&lt;&gt;"",DATA_RELATIONSHIPS!G124,"")</f>
        <v/>
      </c>
      <c r="H127" s="274">
        <f>IF(A127&lt;&gt;"",DATA_RELATIONSHIPS!G124,"")</f>
        <v/>
      </c>
      <c r="I127" s="273">
        <f>IF(A127&lt;&gt;"",""&amp;DATA_RELATIONSHIPS!H124,"")</f>
        <v/>
      </c>
      <c r="J127" s="273">
        <f>IF(A127&lt;&gt;"",""&amp;DATA_RELATIONSHIPS!I124,"")</f>
        <v/>
      </c>
    </row>
    <row r="128" ht="15.75" customHeight="1" s="132">
      <c r="A128" s="273">
        <f>IF(DATA_RELATIONSHIPS!B125&lt;&gt;"",""&amp;DATA_RELATIONSHIPS!B125,"")</f>
        <v/>
      </c>
      <c r="B128" s="273">
        <f>IF(A128&lt;&gt;"",""&amp;DATA_RELATIONSHIPS!C125,"")</f>
        <v/>
      </c>
      <c r="C128" s="273">
        <f>IF(A128&lt;&gt;"","KO","")</f>
        <v/>
      </c>
      <c r="D128" s="273">
        <f>IF(A128&lt;&gt;"",""&amp;DATA_RELATIONSHIPS!D125,"")</f>
        <v/>
      </c>
      <c r="E128" s="273">
        <f>IF(A128&lt;&gt;"","KO","")</f>
        <v/>
      </c>
      <c r="F128" s="273">
        <f>IF(A128&lt;&gt;"",""&amp;DATA_RELATIONSHIPS!F125,"")</f>
        <v/>
      </c>
      <c r="G128" s="274">
        <f>IF(A128&lt;&gt;"",DATA_RELATIONSHIPS!G125,"")</f>
        <v/>
      </c>
      <c r="H128" s="274">
        <f>IF(A128&lt;&gt;"",DATA_RELATIONSHIPS!G125,"")</f>
        <v/>
      </c>
      <c r="I128" s="273">
        <f>IF(A128&lt;&gt;"",""&amp;DATA_RELATIONSHIPS!H125,"")</f>
        <v/>
      </c>
      <c r="J128" s="273">
        <f>IF(A128&lt;&gt;"",""&amp;DATA_RELATIONSHIPS!I125,"")</f>
        <v/>
      </c>
    </row>
    <row r="129" ht="15.75" customHeight="1" s="132">
      <c r="A129" s="273">
        <f>IF(DATA_RELATIONSHIPS!B126&lt;&gt;"",""&amp;DATA_RELATIONSHIPS!B126,"")</f>
        <v/>
      </c>
      <c r="B129" s="273">
        <f>IF(A129&lt;&gt;"",""&amp;DATA_RELATIONSHIPS!C126,"")</f>
        <v/>
      </c>
      <c r="C129" s="273">
        <f>IF(A129&lt;&gt;"","KO","")</f>
        <v/>
      </c>
      <c r="D129" s="273">
        <f>IF(A129&lt;&gt;"",""&amp;DATA_RELATIONSHIPS!D126,"")</f>
        <v/>
      </c>
      <c r="E129" s="273">
        <f>IF(A129&lt;&gt;"","KO","")</f>
        <v/>
      </c>
      <c r="F129" s="273">
        <f>IF(A129&lt;&gt;"",""&amp;DATA_RELATIONSHIPS!F126,"")</f>
        <v/>
      </c>
      <c r="G129" s="274">
        <f>IF(A129&lt;&gt;"",DATA_RELATIONSHIPS!G126,"")</f>
        <v/>
      </c>
      <c r="H129" s="274">
        <f>IF(A129&lt;&gt;"",DATA_RELATIONSHIPS!G126,"")</f>
        <v/>
      </c>
      <c r="I129" s="273">
        <f>IF(A129&lt;&gt;"",""&amp;DATA_RELATIONSHIPS!H126,"")</f>
        <v/>
      </c>
      <c r="J129" s="273">
        <f>IF(A129&lt;&gt;"",""&amp;DATA_RELATIONSHIPS!I126,"")</f>
        <v/>
      </c>
    </row>
    <row r="130" ht="15.75" customHeight="1" s="132">
      <c r="A130" s="273">
        <f>IF(DATA_RELATIONSHIPS!B127&lt;&gt;"",""&amp;DATA_RELATIONSHIPS!B127,"")</f>
        <v/>
      </c>
      <c r="B130" s="273">
        <f>IF(A130&lt;&gt;"",""&amp;DATA_RELATIONSHIPS!C127,"")</f>
        <v/>
      </c>
      <c r="C130" s="273">
        <f>IF(A130&lt;&gt;"","KO","")</f>
        <v/>
      </c>
      <c r="D130" s="273">
        <f>IF(A130&lt;&gt;"",""&amp;DATA_RELATIONSHIPS!D127,"")</f>
        <v/>
      </c>
      <c r="E130" s="273">
        <f>IF(A130&lt;&gt;"","KO","")</f>
        <v/>
      </c>
      <c r="F130" s="273">
        <f>IF(A130&lt;&gt;"",""&amp;DATA_RELATIONSHIPS!F127,"")</f>
        <v/>
      </c>
      <c r="G130" s="274">
        <f>IF(A130&lt;&gt;"",DATA_RELATIONSHIPS!G127,"")</f>
        <v/>
      </c>
      <c r="H130" s="274">
        <f>IF(A130&lt;&gt;"",DATA_RELATIONSHIPS!G127,"")</f>
        <v/>
      </c>
      <c r="I130" s="273">
        <f>IF(A130&lt;&gt;"",""&amp;DATA_RELATIONSHIPS!H127,"")</f>
        <v/>
      </c>
      <c r="J130" s="273">
        <f>IF(A130&lt;&gt;"",""&amp;DATA_RELATIONSHIPS!I127,"")</f>
        <v/>
      </c>
    </row>
    <row r="131" ht="15.75" customHeight="1" s="132">
      <c r="A131" s="273">
        <f>IF(DATA_RELATIONSHIPS!B128&lt;&gt;"",""&amp;DATA_RELATIONSHIPS!B128,"")</f>
        <v/>
      </c>
      <c r="B131" s="273">
        <f>IF(A131&lt;&gt;"",""&amp;DATA_RELATIONSHIPS!C128,"")</f>
        <v/>
      </c>
      <c r="C131" s="273">
        <f>IF(A131&lt;&gt;"","KO","")</f>
        <v/>
      </c>
      <c r="D131" s="273">
        <f>IF(A131&lt;&gt;"",""&amp;DATA_RELATIONSHIPS!D128,"")</f>
        <v/>
      </c>
      <c r="E131" s="273">
        <f>IF(A131&lt;&gt;"","KO","")</f>
        <v/>
      </c>
      <c r="F131" s="273">
        <f>IF(A131&lt;&gt;"",""&amp;DATA_RELATIONSHIPS!F128,"")</f>
        <v/>
      </c>
      <c r="G131" s="274">
        <f>IF(A131&lt;&gt;"",DATA_RELATIONSHIPS!G128,"")</f>
        <v/>
      </c>
      <c r="H131" s="274">
        <f>IF(A131&lt;&gt;"",DATA_RELATIONSHIPS!G128,"")</f>
        <v/>
      </c>
      <c r="I131" s="273">
        <f>IF(A131&lt;&gt;"",""&amp;DATA_RELATIONSHIPS!H128,"")</f>
        <v/>
      </c>
      <c r="J131" s="273">
        <f>IF(A131&lt;&gt;"",""&amp;DATA_RELATIONSHIPS!I128,"")</f>
        <v/>
      </c>
    </row>
    <row r="132" ht="15.75" customHeight="1" s="132">
      <c r="A132" s="273">
        <f>IF(DATA_RELATIONSHIPS!B129&lt;&gt;"",""&amp;DATA_RELATIONSHIPS!B129,"")</f>
        <v/>
      </c>
      <c r="B132" s="273">
        <f>IF(A132&lt;&gt;"",""&amp;DATA_RELATIONSHIPS!C129,"")</f>
        <v/>
      </c>
      <c r="C132" s="273">
        <f>IF(A132&lt;&gt;"","KO","")</f>
        <v/>
      </c>
      <c r="D132" s="273">
        <f>IF(A132&lt;&gt;"",""&amp;DATA_RELATIONSHIPS!D129,"")</f>
        <v/>
      </c>
      <c r="E132" s="273">
        <f>IF(A132&lt;&gt;"","KO","")</f>
        <v/>
      </c>
      <c r="F132" s="273">
        <f>IF(A132&lt;&gt;"",""&amp;DATA_RELATIONSHIPS!F129,"")</f>
        <v/>
      </c>
      <c r="G132" s="274">
        <f>IF(A132&lt;&gt;"",DATA_RELATIONSHIPS!G129,"")</f>
        <v/>
      </c>
      <c r="H132" s="274">
        <f>IF(A132&lt;&gt;"",DATA_RELATIONSHIPS!G129,"")</f>
        <v/>
      </c>
      <c r="I132" s="273">
        <f>IF(A132&lt;&gt;"",""&amp;DATA_RELATIONSHIPS!H129,"")</f>
        <v/>
      </c>
      <c r="J132" s="273">
        <f>IF(A132&lt;&gt;"",""&amp;DATA_RELATIONSHIPS!I129,"")</f>
        <v/>
      </c>
    </row>
    <row r="133" ht="15.75" customHeight="1" s="132">
      <c r="A133" s="273">
        <f>IF(DATA_RELATIONSHIPS!B130&lt;&gt;"",""&amp;DATA_RELATIONSHIPS!B130,"")</f>
        <v/>
      </c>
      <c r="B133" s="273">
        <f>IF(A133&lt;&gt;"",""&amp;DATA_RELATIONSHIPS!C130,"")</f>
        <v/>
      </c>
      <c r="C133" s="273">
        <f>IF(A133&lt;&gt;"","KO","")</f>
        <v/>
      </c>
      <c r="D133" s="273">
        <f>IF(A133&lt;&gt;"",""&amp;DATA_RELATIONSHIPS!D130,"")</f>
        <v/>
      </c>
      <c r="E133" s="273">
        <f>IF(A133&lt;&gt;"","KO","")</f>
        <v/>
      </c>
      <c r="F133" s="273">
        <f>IF(A133&lt;&gt;"",""&amp;DATA_RELATIONSHIPS!F130,"")</f>
        <v/>
      </c>
      <c r="G133" s="274">
        <f>IF(A133&lt;&gt;"",DATA_RELATIONSHIPS!G130,"")</f>
        <v/>
      </c>
      <c r="H133" s="274">
        <f>IF(A133&lt;&gt;"",DATA_RELATIONSHIPS!G130,"")</f>
        <v/>
      </c>
      <c r="I133" s="273">
        <f>IF(A133&lt;&gt;"",""&amp;DATA_RELATIONSHIPS!H130,"")</f>
        <v/>
      </c>
      <c r="J133" s="273">
        <f>IF(A133&lt;&gt;"",""&amp;DATA_RELATIONSHIPS!I130,"")</f>
        <v/>
      </c>
    </row>
    <row r="134" ht="15.75" customHeight="1" s="132">
      <c r="A134" s="273">
        <f>IF(DATA_RELATIONSHIPS!B131&lt;&gt;"",""&amp;DATA_RELATIONSHIPS!B131,"")</f>
        <v/>
      </c>
      <c r="B134" s="273">
        <f>IF(A134&lt;&gt;"",""&amp;DATA_RELATIONSHIPS!C131,"")</f>
        <v/>
      </c>
      <c r="C134" s="273">
        <f>IF(A134&lt;&gt;"","KO","")</f>
        <v/>
      </c>
      <c r="D134" s="273">
        <f>IF(A134&lt;&gt;"",""&amp;DATA_RELATIONSHIPS!D131,"")</f>
        <v/>
      </c>
      <c r="E134" s="273">
        <f>IF(A134&lt;&gt;"","KO","")</f>
        <v/>
      </c>
      <c r="F134" s="273">
        <f>IF(A134&lt;&gt;"",""&amp;DATA_RELATIONSHIPS!F131,"")</f>
        <v/>
      </c>
      <c r="G134" s="274">
        <f>IF(A134&lt;&gt;"",DATA_RELATIONSHIPS!G131,"")</f>
        <v/>
      </c>
      <c r="H134" s="274">
        <f>IF(A134&lt;&gt;"",DATA_RELATIONSHIPS!G131,"")</f>
        <v/>
      </c>
      <c r="I134" s="273">
        <f>IF(A134&lt;&gt;"",""&amp;DATA_RELATIONSHIPS!H131,"")</f>
        <v/>
      </c>
      <c r="J134" s="273">
        <f>IF(A134&lt;&gt;"",""&amp;DATA_RELATIONSHIPS!I131,"")</f>
        <v/>
      </c>
    </row>
    <row r="135" ht="15.75" customHeight="1" s="132">
      <c r="A135" s="273">
        <f>IF(DATA_RELATIONSHIPS!B132&lt;&gt;"",""&amp;DATA_RELATIONSHIPS!B132,"")</f>
        <v/>
      </c>
      <c r="B135" s="273">
        <f>IF(A135&lt;&gt;"",""&amp;DATA_RELATIONSHIPS!C132,"")</f>
        <v/>
      </c>
      <c r="C135" s="273">
        <f>IF(A135&lt;&gt;"","KO","")</f>
        <v/>
      </c>
      <c r="D135" s="273">
        <f>IF(A135&lt;&gt;"",""&amp;DATA_RELATIONSHIPS!D132,"")</f>
        <v/>
      </c>
      <c r="E135" s="273">
        <f>IF(A135&lt;&gt;"","KO","")</f>
        <v/>
      </c>
      <c r="F135" s="273">
        <f>IF(A135&lt;&gt;"",""&amp;DATA_RELATIONSHIPS!F132,"")</f>
        <v/>
      </c>
      <c r="G135" s="274">
        <f>IF(A135&lt;&gt;"",DATA_RELATIONSHIPS!G132,"")</f>
        <v/>
      </c>
      <c r="H135" s="274">
        <f>IF(A135&lt;&gt;"",DATA_RELATIONSHIPS!G132,"")</f>
        <v/>
      </c>
      <c r="I135" s="273">
        <f>IF(A135&lt;&gt;"",""&amp;DATA_RELATIONSHIPS!H132,"")</f>
        <v/>
      </c>
      <c r="J135" s="273">
        <f>IF(A135&lt;&gt;"",""&amp;DATA_RELATIONSHIPS!I132,"")</f>
        <v/>
      </c>
    </row>
    <row r="136" ht="15.75" customHeight="1" s="132">
      <c r="A136" s="273">
        <f>IF(DATA_RELATIONSHIPS!B133&lt;&gt;"",""&amp;DATA_RELATIONSHIPS!B133,"")</f>
        <v/>
      </c>
      <c r="B136" s="273">
        <f>IF(A136&lt;&gt;"",""&amp;DATA_RELATIONSHIPS!C133,"")</f>
        <v/>
      </c>
      <c r="C136" s="273">
        <f>IF(A136&lt;&gt;"","KO","")</f>
        <v/>
      </c>
      <c r="D136" s="273">
        <f>IF(A136&lt;&gt;"",""&amp;DATA_RELATIONSHIPS!D133,"")</f>
        <v/>
      </c>
      <c r="E136" s="273">
        <f>IF(A136&lt;&gt;"","KO","")</f>
        <v/>
      </c>
      <c r="F136" s="273">
        <f>IF(A136&lt;&gt;"",""&amp;DATA_RELATIONSHIPS!F133,"")</f>
        <v/>
      </c>
      <c r="G136" s="274">
        <f>IF(A136&lt;&gt;"",DATA_RELATIONSHIPS!G133,"")</f>
        <v/>
      </c>
      <c r="H136" s="274">
        <f>IF(A136&lt;&gt;"",DATA_RELATIONSHIPS!G133,"")</f>
        <v/>
      </c>
      <c r="I136" s="273">
        <f>IF(A136&lt;&gt;"",""&amp;DATA_RELATIONSHIPS!H133,"")</f>
        <v/>
      </c>
      <c r="J136" s="273">
        <f>IF(A136&lt;&gt;"",""&amp;DATA_RELATIONSHIPS!I133,"")</f>
        <v/>
      </c>
    </row>
    <row r="137" ht="15.75" customHeight="1" s="132">
      <c r="A137" s="273">
        <f>IF(DATA_RELATIONSHIPS!B134&lt;&gt;"",""&amp;DATA_RELATIONSHIPS!B134,"")</f>
        <v/>
      </c>
      <c r="B137" s="273">
        <f>IF(A137&lt;&gt;"",""&amp;DATA_RELATIONSHIPS!C134,"")</f>
        <v/>
      </c>
      <c r="C137" s="273">
        <f>IF(A137&lt;&gt;"","KO","")</f>
        <v/>
      </c>
      <c r="D137" s="273">
        <f>IF(A137&lt;&gt;"",""&amp;DATA_RELATIONSHIPS!D134,"")</f>
        <v/>
      </c>
      <c r="E137" s="273">
        <f>IF(A137&lt;&gt;"","KO","")</f>
        <v/>
      </c>
      <c r="F137" s="273">
        <f>IF(A137&lt;&gt;"",""&amp;DATA_RELATIONSHIPS!F134,"")</f>
        <v/>
      </c>
      <c r="G137" s="274">
        <f>IF(A137&lt;&gt;"",DATA_RELATIONSHIPS!G134,"")</f>
        <v/>
      </c>
      <c r="H137" s="274">
        <f>IF(A137&lt;&gt;"",DATA_RELATIONSHIPS!G134,"")</f>
        <v/>
      </c>
      <c r="I137" s="273">
        <f>IF(A137&lt;&gt;"",""&amp;DATA_RELATIONSHIPS!H134,"")</f>
        <v/>
      </c>
      <c r="J137" s="273">
        <f>IF(A137&lt;&gt;"",""&amp;DATA_RELATIONSHIPS!I134,"")</f>
        <v/>
      </c>
    </row>
    <row r="138" ht="15.75" customHeight="1" s="132">
      <c r="A138" s="273">
        <f>IF(DATA_RELATIONSHIPS!B135&lt;&gt;"",""&amp;DATA_RELATIONSHIPS!B135,"")</f>
        <v/>
      </c>
      <c r="B138" s="273">
        <f>IF(A138&lt;&gt;"",""&amp;DATA_RELATIONSHIPS!C135,"")</f>
        <v/>
      </c>
      <c r="C138" s="273">
        <f>IF(A138&lt;&gt;"","KO","")</f>
        <v/>
      </c>
      <c r="D138" s="273">
        <f>IF(A138&lt;&gt;"",""&amp;DATA_RELATIONSHIPS!D135,"")</f>
        <v/>
      </c>
      <c r="E138" s="273">
        <f>IF(A138&lt;&gt;"","KO","")</f>
        <v/>
      </c>
      <c r="F138" s="273">
        <f>IF(A138&lt;&gt;"",""&amp;DATA_RELATIONSHIPS!F135,"")</f>
        <v/>
      </c>
      <c r="G138" s="274">
        <f>IF(A138&lt;&gt;"",DATA_RELATIONSHIPS!G135,"")</f>
        <v/>
      </c>
      <c r="H138" s="274">
        <f>IF(A138&lt;&gt;"",DATA_RELATIONSHIPS!G135,"")</f>
        <v/>
      </c>
      <c r="I138" s="273">
        <f>IF(A138&lt;&gt;"",""&amp;DATA_RELATIONSHIPS!H135,"")</f>
        <v/>
      </c>
      <c r="J138" s="273">
        <f>IF(A138&lt;&gt;"",""&amp;DATA_RELATIONSHIPS!I135,"")</f>
        <v/>
      </c>
    </row>
    <row r="139" ht="15.75" customHeight="1" s="132">
      <c r="A139" s="273">
        <f>IF(DATA_RELATIONSHIPS!B136&lt;&gt;"",""&amp;DATA_RELATIONSHIPS!B136,"")</f>
        <v/>
      </c>
      <c r="B139" s="273">
        <f>IF(A139&lt;&gt;"",""&amp;DATA_RELATIONSHIPS!C136,"")</f>
        <v/>
      </c>
      <c r="C139" s="273">
        <f>IF(A139&lt;&gt;"","KO","")</f>
        <v/>
      </c>
      <c r="D139" s="273">
        <f>IF(A139&lt;&gt;"",""&amp;DATA_RELATIONSHIPS!D136,"")</f>
        <v/>
      </c>
      <c r="E139" s="273">
        <f>IF(A139&lt;&gt;"","KO","")</f>
        <v/>
      </c>
      <c r="F139" s="273">
        <f>IF(A139&lt;&gt;"",""&amp;DATA_RELATIONSHIPS!F136,"")</f>
        <v/>
      </c>
      <c r="G139" s="274">
        <f>IF(A139&lt;&gt;"",DATA_RELATIONSHIPS!G136,"")</f>
        <v/>
      </c>
      <c r="H139" s="274">
        <f>IF(A139&lt;&gt;"",DATA_RELATIONSHIPS!G136,"")</f>
        <v/>
      </c>
      <c r="I139" s="273">
        <f>IF(A139&lt;&gt;"",""&amp;DATA_RELATIONSHIPS!H136,"")</f>
        <v/>
      </c>
      <c r="J139" s="273">
        <f>IF(A139&lt;&gt;"",""&amp;DATA_RELATIONSHIPS!I136,"")</f>
        <v/>
      </c>
    </row>
    <row r="140" ht="15.75" customHeight="1" s="132">
      <c r="A140" s="273">
        <f>IF(DATA_RELATIONSHIPS!B137&lt;&gt;"",""&amp;DATA_RELATIONSHIPS!B137,"")</f>
        <v/>
      </c>
      <c r="B140" s="273">
        <f>IF(A140&lt;&gt;"",""&amp;DATA_RELATIONSHIPS!C137,"")</f>
        <v/>
      </c>
      <c r="C140" s="273">
        <f>IF(A140&lt;&gt;"","KO","")</f>
        <v/>
      </c>
      <c r="D140" s="273">
        <f>IF(A140&lt;&gt;"",""&amp;DATA_RELATIONSHIPS!D137,"")</f>
        <v/>
      </c>
      <c r="E140" s="273">
        <f>IF(A140&lt;&gt;"","KO","")</f>
        <v/>
      </c>
      <c r="F140" s="273">
        <f>IF(A140&lt;&gt;"",""&amp;DATA_RELATIONSHIPS!F137,"")</f>
        <v/>
      </c>
      <c r="G140" s="274">
        <f>IF(A140&lt;&gt;"",DATA_RELATIONSHIPS!G137,"")</f>
        <v/>
      </c>
      <c r="H140" s="274">
        <f>IF(A140&lt;&gt;"",DATA_RELATIONSHIPS!G137,"")</f>
        <v/>
      </c>
      <c r="I140" s="273">
        <f>IF(A140&lt;&gt;"",""&amp;DATA_RELATIONSHIPS!H137,"")</f>
        <v/>
      </c>
      <c r="J140" s="273">
        <f>IF(A140&lt;&gt;"",""&amp;DATA_RELATIONSHIPS!I137,"")</f>
        <v/>
      </c>
    </row>
    <row r="141" ht="15.75" customHeight="1" s="132">
      <c r="A141" s="273">
        <f>IF(DATA_RELATIONSHIPS!B138&lt;&gt;"",""&amp;DATA_RELATIONSHIPS!B138,"")</f>
        <v/>
      </c>
      <c r="B141" s="273">
        <f>IF(A141&lt;&gt;"",""&amp;DATA_RELATIONSHIPS!C138,"")</f>
        <v/>
      </c>
      <c r="C141" s="273">
        <f>IF(A141&lt;&gt;"","KO","")</f>
        <v/>
      </c>
      <c r="D141" s="273">
        <f>IF(A141&lt;&gt;"",""&amp;DATA_RELATIONSHIPS!D138,"")</f>
        <v/>
      </c>
      <c r="E141" s="273">
        <f>IF(A141&lt;&gt;"","KO","")</f>
        <v/>
      </c>
      <c r="F141" s="273">
        <f>IF(A141&lt;&gt;"",""&amp;DATA_RELATIONSHIPS!F138,"")</f>
        <v/>
      </c>
      <c r="G141" s="274">
        <f>IF(A141&lt;&gt;"",DATA_RELATIONSHIPS!G138,"")</f>
        <v/>
      </c>
      <c r="H141" s="274">
        <f>IF(A141&lt;&gt;"",DATA_RELATIONSHIPS!G138,"")</f>
        <v/>
      </c>
      <c r="I141" s="273">
        <f>IF(A141&lt;&gt;"",""&amp;DATA_RELATIONSHIPS!H138,"")</f>
        <v/>
      </c>
      <c r="J141" s="273">
        <f>IF(A141&lt;&gt;"",""&amp;DATA_RELATIONSHIPS!I138,"")</f>
        <v/>
      </c>
    </row>
    <row r="142" ht="15.75" customHeight="1" s="132">
      <c r="A142" s="273">
        <f>IF(DATA_RELATIONSHIPS!B139&lt;&gt;"",""&amp;DATA_RELATIONSHIPS!B139,"")</f>
        <v/>
      </c>
      <c r="B142" s="273">
        <f>IF(A142&lt;&gt;"",""&amp;DATA_RELATIONSHIPS!C139,"")</f>
        <v/>
      </c>
      <c r="C142" s="273">
        <f>IF(A142&lt;&gt;"","KO","")</f>
        <v/>
      </c>
      <c r="D142" s="273">
        <f>IF(A142&lt;&gt;"",""&amp;DATA_RELATIONSHIPS!D139,"")</f>
        <v/>
      </c>
      <c r="E142" s="273">
        <f>IF(A142&lt;&gt;"","KO","")</f>
        <v/>
      </c>
      <c r="F142" s="273">
        <f>IF(A142&lt;&gt;"",""&amp;DATA_RELATIONSHIPS!F139,"")</f>
        <v/>
      </c>
      <c r="G142" s="274">
        <f>IF(A142&lt;&gt;"",DATA_RELATIONSHIPS!G139,"")</f>
        <v/>
      </c>
      <c r="H142" s="274">
        <f>IF(A142&lt;&gt;"",DATA_RELATIONSHIPS!G139,"")</f>
        <v/>
      </c>
      <c r="I142" s="273">
        <f>IF(A142&lt;&gt;"",""&amp;DATA_RELATIONSHIPS!H139,"")</f>
        <v/>
      </c>
      <c r="J142" s="273">
        <f>IF(A142&lt;&gt;"",""&amp;DATA_RELATIONSHIPS!I139,"")</f>
        <v/>
      </c>
    </row>
    <row r="143" ht="15.75" customHeight="1" s="132">
      <c r="A143" s="273">
        <f>IF(DATA_RELATIONSHIPS!B140&lt;&gt;"",""&amp;DATA_RELATIONSHIPS!B140,"")</f>
        <v/>
      </c>
      <c r="B143" s="273">
        <f>IF(A143&lt;&gt;"",""&amp;DATA_RELATIONSHIPS!C140,"")</f>
        <v/>
      </c>
      <c r="C143" s="273">
        <f>IF(A143&lt;&gt;"","KO","")</f>
        <v/>
      </c>
      <c r="D143" s="273">
        <f>IF(A143&lt;&gt;"",""&amp;DATA_RELATIONSHIPS!D140,"")</f>
        <v/>
      </c>
      <c r="E143" s="273">
        <f>IF(A143&lt;&gt;"","KO","")</f>
        <v/>
      </c>
      <c r="F143" s="273">
        <f>IF(A143&lt;&gt;"",""&amp;DATA_RELATIONSHIPS!F140,"")</f>
        <v/>
      </c>
      <c r="G143" s="274">
        <f>IF(A143&lt;&gt;"",DATA_RELATIONSHIPS!G140,"")</f>
        <v/>
      </c>
      <c r="H143" s="274">
        <f>IF(A143&lt;&gt;"",DATA_RELATIONSHIPS!G140,"")</f>
        <v/>
      </c>
      <c r="I143" s="273">
        <f>IF(A143&lt;&gt;"",""&amp;DATA_RELATIONSHIPS!H140,"")</f>
        <v/>
      </c>
      <c r="J143" s="273">
        <f>IF(A143&lt;&gt;"",""&amp;DATA_RELATIONSHIPS!I140,"")</f>
        <v/>
      </c>
    </row>
    <row r="144" ht="15.75" customHeight="1" s="132">
      <c r="A144" s="273">
        <f>IF(DATA_RELATIONSHIPS!B141&lt;&gt;"",""&amp;DATA_RELATIONSHIPS!B141,"")</f>
        <v/>
      </c>
      <c r="B144" s="273">
        <f>IF(A144&lt;&gt;"",""&amp;DATA_RELATIONSHIPS!C141,"")</f>
        <v/>
      </c>
      <c r="C144" s="273">
        <f>IF(A144&lt;&gt;"","KO","")</f>
        <v/>
      </c>
      <c r="D144" s="273">
        <f>IF(A144&lt;&gt;"",""&amp;DATA_RELATIONSHIPS!D141,"")</f>
        <v/>
      </c>
      <c r="E144" s="273">
        <f>IF(A144&lt;&gt;"","KO","")</f>
        <v/>
      </c>
      <c r="F144" s="273">
        <f>IF(A144&lt;&gt;"",""&amp;DATA_RELATIONSHIPS!F141,"")</f>
        <v/>
      </c>
      <c r="G144" s="274">
        <f>IF(A144&lt;&gt;"",DATA_RELATIONSHIPS!G141,"")</f>
        <v/>
      </c>
      <c r="H144" s="274">
        <f>IF(A144&lt;&gt;"",DATA_RELATIONSHIPS!G141,"")</f>
        <v/>
      </c>
      <c r="I144" s="273">
        <f>IF(A144&lt;&gt;"",""&amp;DATA_RELATIONSHIPS!H141,"")</f>
        <v/>
      </c>
      <c r="J144" s="273">
        <f>IF(A144&lt;&gt;"",""&amp;DATA_RELATIONSHIPS!I141,"")</f>
        <v/>
      </c>
    </row>
    <row r="145" ht="15.75" customHeight="1" s="132">
      <c r="A145" s="273">
        <f>IF(DATA_RELATIONSHIPS!B142&lt;&gt;"",""&amp;DATA_RELATIONSHIPS!B142,"")</f>
        <v/>
      </c>
      <c r="B145" s="273">
        <f>IF(A145&lt;&gt;"",""&amp;DATA_RELATIONSHIPS!C142,"")</f>
        <v/>
      </c>
      <c r="C145" s="273">
        <f>IF(A145&lt;&gt;"","KO","")</f>
        <v/>
      </c>
      <c r="D145" s="273">
        <f>IF(A145&lt;&gt;"",""&amp;DATA_RELATIONSHIPS!D142,"")</f>
        <v/>
      </c>
      <c r="E145" s="273">
        <f>IF(A145&lt;&gt;"","KO","")</f>
        <v/>
      </c>
      <c r="F145" s="273">
        <f>IF(A145&lt;&gt;"",""&amp;DATA_RELATIONSHIPS!F142,"")</f>
        <v/>
      </c>
      <c r="G145" s="274">
        <f>IF(A145&lt;&gt;"",DATA_RELATIONSHIPS!G142,"")</f>
        <v/>
      </c>
      <c r="H145" s="274">
        <f>IF(A145&lt;&gt;"",DATA_RELATIONSHIPS!G142,"")</f>
        <v/>
      </c>
      <c r="I145" s="273">
        <f>IF(A145&lt;&gt;"",""&amp;DATA_RELATIONSHIPS!H142,"")</f>
        <v/>
      </c>
      <c r="J145" s="273">
        <f>IF(A145&lt;&gt;"",""&amp;DATA_RELATIONSHIPS!I142,"")</f>
        <v/>
      </c>
    </row>
    <row r="146" ht="15.75" customHeight="1" s="132">
      <c r="A146" s="273">
        <f>IF(DATA_RELATIONSHIPS!B143&lt;&gt;"",""&amp;DATA_RELATIONSHIPS!B143,"")</f>
        <v/>
      </c>
      <c r="B146" s="273">
        <f>IF(A146&lt;&gt;"",""&amp;DATA_RELATIONSHIPS!C143,"")</f>
        <v/>
      </c>
      <c r="C146" s="273">
        <f>IF(A146&lt;&gt;"","KO","")</f>
        <v/>
      </c>
      <c r="D146" s="273">
        <f>IF(A146&lt;&gt;"",""&amp;DATA_RELATIONSHIPS!D143,"")</f>
        <v/>
      </c>
      <c r="E146" s="273">
        <f>IF(A146&lt;&gt;"","KO","")</f>
        <v/>
      </c>
      <c r="F146" s="273">
        <f>IF(A146&lt;&gt;"",""&amp;DATA_RELATIONSHIPS!F143,"")</f>
        <v/>
      </c>
      <c r="G146" s="274">
        <f>IF(A146&lt;&gt;"",DATA_RELATIONSHIPS!G143,"")</f>
        <v/>
      </c>
      <c r="H146" s="274">
        <f>IF(A146&lt;&gt;"",DATA_RELATIONSHIPS!G143,"")</f>
        <v/>
      </c>
      <c r="I146" s="273">
        <f>IF(A146&lt;&gt;"",""&amp;DATA_RELATIONSHIPS!H143,"")</f>
        <v/>
      </c>
      <c r="J146" s="273">
        <f>IF(A146&lt;&gt;"",""&amp;DATA_RELATIONSHIPS!I143,"")</f>
        <v/>
      </c>
    </row>
    <row r="147" ht="15.75" customHeight="1" s="132">
      <c r="A147" s="273">
        <f>IF(DATA_RELATIONSHIPS!B144&lt;&gt;"",""&amp;DATA_RELATIONSHIPS!B144,"")</f>
        <v/>
      </c>
      <c r="B147" s="273">
        <f>IF(A147&lt;&gt;"",""&amp;DATA_RELATIONSHIPS!C144,"")</f>
        <v/>
      </c>
      <c r="C147" s="273">
        <f>IF(A147&lt;&gt;"","KO","")</f>
        <v/>
      </c>
      <c r="D147" s="273">
        <f>IF(A147&lt;&gt;"",""&amp;DATA_RELATIONSHIPS!D144,"")</f>
        <v/>
      </c>
      <c r="E147" s="273">
        <f>IF(A147&lt;&gt;"","KO","")</f>
        <v/>
      </c>
      <c r="F147" s="273">
        <f>IF(A147&lt;&gt;"",""&amp;DATA_RELATIONSHIPS!F144,"")</f>
        <v/>
      </c>
      <c r="G147" s="274">
        <f>IF(A147&lt;&gt;"",DATA_RELATIONSHIPS!G144,"")</f>
        <v/>
      </c>
      <c r="H147" s="274">
        <f>IF(A147&lt;&gt;"",DATA_RELATIONSHIPS!G144,"")</f>
        <v/>
      </c>
      <c r="I147" s="273">
        <f>IF(A147&lt;&gt;"",""&amp;DATA_RELATIONSHIPS!H144,"")</f>
        <v/>
      </c>
      <c r="J147" s="273">
        <f>IF(A147&lt;&gt;"",""&amp;DATA_RELATIONSHIPS!I144,"")</f>
        <v/>
      </c>
    </row>
    <row r="148" ht="15.75" customHeight="1" s="132">
      <c r="A148" s="273">
        <f>IF(DATA_RELATIONSHIPS!B145&lt;&gt;"",""&amp;DATA_RELATIONSHIPS!B145,"")</f>
        <v/>
      </c>
      <c r="B148" s="273">
        <f>IF(A148&lt;&gt;"",""&amp;DATA_RELATIONSHIPS!C145,"")</f>
        <v/>
      </c>
      <c r="C148" s="273">
        <f>IF(A148&lt;&gt;"","KO","")</f>
        <v/>
      </c>
      <c r="D148" s="273">
        <f>IF(A148&lt;&gt;"",""&amp;DATA_RELATIONSHIPS!D145,"")</f>
        <v/>
      </c>
      <c r="E148" s="273">
        <f>IF(A148&lt;&gt;"","KO","")</f>
        <v/>
      </c>
      <c r="F148" s="273">
        <f>IF(A148&lt;&gt;"",""&amp;DATA_RELATIONSHIPS!F145,"")</f>
        <v/>
      </c>
      <c r="G148" s="274">
        <f>IF(A148&lt;&gt;"",DATA_RELATIONSHIPS!G145,"")</f>
        <v/>
      </c>
      <c r="H148" s="274">
        <f>IF(A148&lt;&gt;"",DATA_RELATIONSHIPS!G145,"")</f>
        <v/>
      </c>
      <c r="I148" s="273">
        <f>IF(A148&lt;&gt;"",""&amp;DATA_RELATIONSHIPS!H145,"")</f>
        <v/>
      </c>
      <c r="J148" s="273">
        <f>IF(A148&lt;&gt;"",""&amp;DATA_RELATIONSHIPS!I145,"")</f>
        <v/>
      </c>
    </row>
    <row r="149" ht="15.75" customHeight="1" s="132">
      <c r="A149" s="273">
        <f>IF(DATA_RELATIONSHIPS!B146&lt;&gt;"",""&amp;DATA_RELATIONSHIPS!B146,"")</f>
        <v/>
      </c>
      <c r="B149" s="273">
        <f>IF(A149&lt;&gt;"",""&amp;DATA_RELATIONSHIPS!C146,"")</f>
        <v/>
      </c>
      <c r="C149" s="273">
        <f>IF(A149&lt;&gt;"","KO","")</f>
        <v/>
      </c>
      <c r="D149" s="273">
        <f>IF(A149&lt;&gt;"",""&amp;DATA_RELATIONSHIPS!D146,"")</f>
        <v/>
      </c>
      <c r="E149" s="273">
        <f>IF(A149&lt;&gt;"","KO","")</f>
        <v/>
      </c>
      <c r="F149" s="273">
        <f>IF(A149&lt;&gt;"",""&amp;DATA_RELATIONSHIPS!F146,"")</f>
        <v/>
      </c>
      <c r="G149" s="274">
        <f>IF(A149&lt;&gt;"",DATA_RELATIONSHIPS!G146,"")</f>
        <v/>
      </c>
      <c r="H149" s="274">
        <f>IF(A149&lt;&gt;"",DATA_RELATIONSHIPS!G146,"")</f>
        <v/>
      </c>
      <c r="I149" s="273">
        <f>IF(A149&lt;&gt;"",""&amp;DATA_RELATIONSHIPS!H146,"")</f>
        <v/>
      </c>
      <c r="J149" s="273">
        <f>IF(A149&lt;&gt;"",""&amp;DATA_RELATIONSHIPS!I146,"")</f>
        <v/>
      </c>
    </row>
    <row r="150" ht="15.75" customHeight="1" s="132">
      <c r="A150" s="273">
        <f>IF(DATA_RELATIONSHIPS!B147&lt;&gt;"",""&amp;DATA_RELATIONSHIPS!B147,"")</f>
        <v/>
      </c>
      <c r="B150" s="273">
        <f>IF(A150&lt;&gt;"",""&amp;DATA_RELATIONSHIPS!C147,"")</f>
        <v/>
      </c>
      <c r="C150" s="273">
        <f>IF(A150&lt;&gt;"","KO","")</f>
        <v/>
      </c>
      <c r="D150" s="273">
        <f>IF(A150&lt;&gt;"",""&amp;DATA_RELATIONSHIPS!D147,"")</f>
        <v/>
      </c>
      <c r="E150" s="273">
        <f>IF(A150&lt;&gt;"","KO","")</f>
        <v/>
      </c>
      <c r="F150" s="273">
        <f>IF(A150&lt;&gt;"",""&amp;DATA_RELATIONSHIPS!F147,"")</f>
        <v/>
      </c>
      <c r="G150" s="274">
        <f>IF(A150&lt;&gt;"",DATA_RELATIONSHIPS!G147,"")</f>
        <v/>
      </c>
      <c r="H150" s="274">
        <f>IF(A150&lt;&gt;"",DATA_RELATIONSHIPS!G147,"")</f>
        <v/>
      </c>
      <c r="I150" s="273">
        <f>IF(A150&lt;&gt;"",""&amp;DATA_RELATIONSHIPS!H147,"")</f>
        <v/>
      </c>
      <c r="J150" s="273">
        <f>IF(A150&lt;&gt;"",""&amp;DATA_RELATIONSHIPS!I147,"")</f>
        <v/>
      </c>
    </row>
    <row r="151" ht="15.75" customHeight="1" s="132">
      <c r="A151" s="273">
        <f>IF(DATA_RELATIONSHIPS!B148&lt;&gt;"",""&amp;DATA_RELATIONSHIPS!B148,"")</f>
        <v/>
      </c>
      <c r="B151" s="273">
        <f>IF(A151&lt;&gt;"",""&amp;DATA_RELATIONSHIPS!C148,"")</f>
        <v/>
      </c>
      <c r="C151" s="273">
        <f>IF(A151&lt;&gt;"","KO","")</f>
        <v/>
      </c>
      <c r="D151" s="273">
        <f>IF(A151&lt;&gt;"",""&amp;DATA_RELATIONSHIPS!D148,"")</f>
        <v/>
      </c>
      <c r="E151" s="273">
        <f>IF(A151&lt;&gt;"","KO","")</f>
        <v/>
      </c>
      <c r="F151" s="273">
        <f>IF(A151&lt;&gt;"",""&amp;DATA_RELATIONSHIPS!F148,"")</f>
        <v/>
      </c>
      <c r="G151" s="274">
        <f>IF(A151&lt;&gt;"",DATA_RELATIONSHIPS!G148,"")</f>
        <v/>
      </c>
      <c r="H151" s="274">
        <f>IF(A151&lt;&gt;"",DATA_RELATIONSHIPS!G148,"")</f>
        <v/>
      </c>
      <c r="I151" s="273">
        <f>IF(A151&lt;&gt;"",""&amp;DATA_RELATIONSHIPS!H148,"")</f>
        <v/>
      </c>
      <c r="J151" s="273">
        <f>IF(A151&lt;&gt;"",""&amp;DATA_RELATIONSHIPS!I148,"")</f>
        <v/>
      </c>
    </row>
    <row r="152" ht="15.75" customHeight="1" s="132">
      <c r="A152" s="273">
        <f>IF(DATA_RELATIONSHIPS!B149&lt;&gt;"",""&amp;DATA_RELATIONSHIPS!B149,"")</f>
        <v/>
      </c>
      <c r="B152" s="273">
        <f>IF(A152&lt;&gt;"",""&amp;DATA_RELATIONSHIPS!C149,"")</f>
        <v/>
      </c>
      <c r="C152" s="273">
        <f>IF(A152&lt;&gt;"","KO","")</f>
        <v/>
      </c>
      <c r="D152" s="273">
        <f>IF(A152&lt;&gt;"",""&amp;DATA_RELATIONSHIPS!D149,"")</f>
        <v/>
      </c>
      <c r="E152" s="273">
        <f>IF(A152&lt;&gt;"","KO","")</f>
        <v/>
      </c>
      <c r="F152" s="273">
        <f>IF(A152&lt;&gt;"",""&amp;DATA_RELATIONSHIPS!F149,"")</f>
        <v/>
      </c>
      <c r="G152" s="274">
        <f>IF(A152&lt;&gt;"",DATA_RELATIONSHIPS!G149,"")</f>
        <v/>
      </c>
      <c r="H152" s="274">
        <f>IF(A152&lt;&gt;"",DATA_RELATIONSHIPS!G149,"")</f>
        <v/>
      </c>
      <c r="I152" s="273">
        <f>IF(A152&lt;&gt;"",""&amp;DATA_RELATIONSHIPS!H149,"")</f>
        <v/>
      </c>
      <c r="J152" s="273">
        <f>IF(A152&lt;&gt;"",""&amp;DATA_RELATIONSHIPS!I149,"")</f>
        <v/>
      </c>
    </row>
    <row r="153" ht="15.75" customHeight="1" s="132">
      <c r="A153" s="273">
        <f>IF(DATA_RELATIONSHIPS!B150&lt;&gt;"",""&amp;DATA_RELATIONSHIPS!B150,"")</f>
        <v/>
      </c>
      <c r="B153" s="273">
        <f>IF(A153&lt;&gt;"",""&amp;DATA_RELATIONSHIPS!C150,"")</f>
        <v/>
      </c>
      <c r="C153" s="273">
        <f>IF(A153&lt;&gt;"","KO","")</f>
        <v/>
      </c>
      <c r="D153" s="273">
        <f>IF(A153&lt;&gt;"",""&amp;DATA_RELATIONSHIPS!D150,"")</f>
        <v/>
      </c>
      <c r="E153" s="273">
        <f>IF(A153&lt;&gt;"","KO","")</f>
        <v/>
      </c>
      <c r="F153" s="273">
        <f>IF(A153&lt;&gt;"",""&amp;DATA_RELATIONSHIPS!F150,"")</f>
        <v/>
      </c>
      <c r="G153" s="274">
        <f>IF(A153&lt;&gt;"",DATA_RELATIONSHIPS!G150,"")</f>
        <v/>
      </c>
      <c r="H153" s="274">
        <f>IF(A153&lt;&gt;"",DATA_RELATIONSHIPS!G150,"")</f>
        <v/>
      </c>
      <c r="I153" s="273">
        <f>IF(A153&lt;&gt;"",""&amp;DATA_RELATIONSHIPS!H150,"")</f>
        <v/>
      </c>
      <c r="J153" s="273">
        <f>IF(A153&lt;&gt;"",""&amp;DATA_RELATIONSHIPS!I150,"")</f>
        <v/>
      </c>
    </row>
    <row r="154" ht="15.75" customHeight="1" s="132">
      <c r="A154" s="273">
        <f>IF(DATA_RELATIONSHIPS!B151&lt;&gt;"",""&amp;DATA_RELATIONSHIPS!B151,"")</f>
        <v/>
      </c>
      <c r="B154" s="273">
        <f>IF(A154&lt;&gt;"",""&amp;DATA_RELATIONSHIPS!C151,"")</f>
        <v/>
      </c>
      <c r="C154" s="273">
        <f>IF(A154&lt;&gt;"","KO","")</f>
        <v/>
      </c>
      <c r="D154" s="273">
        <f>IF(A154&lt;&gt;"",""&amp;DATA_RELATIONSHIPS!D151,"")</f>
        <v/>
      </c>
      <c r="E154" s="273">
        <f>IF(A154&lt;&gt;"","KO","")</f>
        <v/>
      </c>
      <c r="F154" s="273">
        <f>IF(A154&lt;&gt;"",""&amp;DATA_RELATIONSHIPS!F151,"")</f>
        <v/>
      </c>
      <c r="G154" s="274">
        <f>IF(A154&lt;&gt;"",DATA_RELATIONSHIPS!G151,"")</f>
        <v/>
      </c>
      <c r="H154" s="274">
        <f>IF(A154&lt;&gt;"",DATA_RELATIONSHIPS!G151,"")</f>
        <v/>
      </c>
      <c r="I154" s="273">
        <f>IF(A154&lt;&gt;"",""&amp;DATA_RELATIONSHIPS!H151,"")</f>
        <v/>
      </c>
      <c r="J154" s="273">
        <f>IF(A154&lt;&gt;"",""&amp;DATA_RELATIONSHIPS!I151,"")</f>
        <v/>
      </c>
    </row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autoFilter ref="$A$4:$L$21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 outlineLevelRow="2"/>
  <cols>
    <col width="24" customWidth="1" style="132" min="1" max="1"/>
    <col width="28" customWidth="1" style="132" min="2" max="2"/>
    <col width="25" customWidth="1" style="132" min="3" max="3"/>
    <col width="24" customWidth="1" style="132" min="4" max="4"/>
    <col width="22" customWidth="1" style="132" min="5" max="5"/>
    <col width="45" customWidth="1" style="132" min="6" max="6"/>
    <col width="40" customWidth="1" style="132" min="7" max="7"/>
    <col width="28" customWidth="1" style="132" min="8" max="8"/>
    <col width="8.710000000000001" customWidth="1" style="132" min="9" max="26"/>
  </cols>
  <sheetData>
    <row r="1">
      <c r="A1" s="175" t="inlineStr">
        <is>
          <t>RESEARCH INTELLIGENCE ENGINE (RIE) — EPISTEMIC LINEAGE EXPLORER</t>
        </is>
      </c>
    </row>
    <row r="2">
      <c r="A2" s="177" t="inlineStr">
        <is>
          <t>4-Tier Vertical Evidence Tracing (KO ➔ IO ➔ EO ➔ Source) | Automated Lineage Health &amp; Provenance Grounding</t>
        </is>
      </c>
    </row>
    <row r="3"/>
    <row r="4">
      <c r="A4" s="181" t="inlineStr">
        <is>
          <t>NAVIGATION:</t>
        </is>
      </c>
      <c r="B4" s="182">
        <f>HYPERLINK("#'01_Executive_Dashboard'!A1", "⮌ BACK TO DASHBOARD")</f>
        <v/>
      </c>
      <c r="C4" s="182">
        <f>HYPERLINK("#'02_Object_Registry'!A1", "➔ OBJECT REGISTRY")</f>
        <v/>
      </c>
      <c r="D4" s="182">
        <f>HYPERLINK("#'03_Relationship_Registry'!A1", "➔ RELATIONSHIP REGISTRY")</f>
        <v/>
      </c>
      <c r="E4" s="182">
        <f>HYPERLINK("#'05_Knowledge_Frontier'!A1", "➔ KNOWLEDGE FRONTIER")</f>
        <v/>
      </c>
      <c r="F4" s="182">
        <f>HYPERLINK("#'06_Provenance_Register'!A1", "➔ PROVENANCE REGISTER")</f>
        <v/>
      </c>
      <c r="G4" s="182">
        <f>HYPERLINK("#'07_Human_Decision_Log'!A1", "➔ DECISION LOG")</f>
        <v/>
      </c>
      <c r="H4" s="182">
        <f>HYPERLINK("#'DATA_KO'!A1", "➔ REPOSITORY DATA")</f>
        <v/>
      </c>
    </row>
    <row r="5"/>
    <row r="6">
      <c r="A6" s="175" t="inlineStr">
        <is>
          <t>Target Knowledge Object (KO):</t>
        </is>
      </c>
      <c r="B6" s="199">
        <f>IF(D6&lt;&gt;"", D6, IF('01_Executive_Dashboard'!$C$21&lt;&gt;"", '01_Executive_Dashboard'!$C$21, '01_Executive_Dashboard'!$A$26))</f>
        <v/>
      </c>
      <c r="C6" s="282" t="inlineStr">
        <is>
          <t>Direct Override Selector:</t>
        </is>
      </c>
      <c r="D6" s="283" t="n"/>
      <c r="E6" s="284">
        <f>HYPERLINK("#'01_Executive_Dashboard'!C21", "➔ [Select on Dashboard]")</f>
        <v/>
      </c>
      <c r="F6" s="185">
        <f t="array" ref="F6">IFERROR(INDEX('05_Knowledge_Frontier'!H:H, MATCH($B$6, '05_Knowledge_Frontier'!B:B, 0)), "PENDING_ARCHITECT")</f>
        <v/>
      </c>
      <c r="G6" s="184" t="inlineStr">
        <is>
          <t>Review Action Link:</t>
        </is>
      </c>
      <c r="H6" s="285">
        <f>HYPERLINK("#'05_Knowledge_Frontier'!A" &amp; IFERROR(MATCH($B$6, '05_Knowledge_Frontier'!B:B, 0), 1), "➔ Evaluate in Review Queue")</f>
        <v/>
      </c>
    </row>
    <row r="7">
      <c r="A7" s="175" t="inlineStr">
        <is>
          <t>Calculated Lineage Chain:</t>
        </is>
      </c>
      <c r="B7" s="206">
        <f t="array" ref="B7">"Origin: " &amp; INDEX(DATA_KO!D:D, MATCH(B6, DATA_KO!A:A, 0)) &amp; " | Confidence: " &amp; TEXT(INDEX(DATA_KO!G:G, MATCH(B6, DATA_KO!A:A, 0)), "0.00") &amp; " | EO Count: " &amp; (LEN(INDEX(DATA_KO!E:E, MATCH(B6, DATA_KO!A:A, 0)))-LEN(SUBSTITUTE(INDEX(DATA_KO!E:E, MATCH(B6, DATA_KO!A:A, 0)), ",", ""))+1) &amp; " | Supporting IOs: " &amp; INDEX(DATA_KO!F:F, MATCH(B6, DATA_KO!A:A, 0))</f>
        <v/>
      </c>
    </row>
    <row r="8">
      <c r="A8" s="232" t="n"/>
      <c r="B8" s="232" t="n"/>
      <c r="C8" s="232" t="n"/>
      <c r="D8" s="232" t="n"/>
      <c r="E8" s="232" t="n"/>
      <c r="F8" s="232" t="n"/>
      <c r="G8" s="232" t="n"/>
      <c r="H8" s="232" t="n"/>
    </row>
    <row r="9">
      <c r="A9" s="286" t="inlineStr">
        <is>
          <t>1. KNOWLEDGE CLAIM (SYNTHESIZED THESIS &amp; DOMAIN)</t>
        </is>
      </c>
    </row>
    <row r="10">
      <c r="A10" s="175" t="inlineStr">
        <is>
          <t>Concept Title:</t>
        </is>
      </c>
      <c r="B10" s="219">
        <f t="array" ref="B10">INDEX(DATA_KO!B:B, MATCH($B$6, DATA_KO!A:A, 0))</f>
        <v/>
      </c>
      <c r="F10" s="175" t="inlineStr">
        <is>
          <t>Ratification State:</t>
        </is>
      </c>
      <c r="G10" s="206">
        <f t="array" ref="G10">INDEX(DATA_KO!I:I, MATCH($B$6, DATA_KO!A:A, 0))</f>
        <v/>
      </c>
    </row>
    <row r="11">
      <c r="A11" s="175" t="inlineStr">
        <is>
          <t>Domain / Field:</t>
        </is>
      </c>
      <c r="B11" s="220">
        <f t="array" ref="B11">INDEX(DATA_KO!C:C, MATCH($B$6, DATA_KO!A:A, 0))</f>
        <v/>
      </c>
      <c r="F11" s="175" t="inlineStr">
        <is>
          <t>Epistemic Confidence:</t>
        </is>
      </c>
      <c r="G11" s="206">
        <f t="array" ref="G11">TEXT(INDEX(DATA_KO!G:G, MATCH($B$6, DATA_KO!A:A, 0)), "0.00")</f>
        <v/>
      </c>
    </row>
    <row r="12">
      <c r="A12" s="246" t="n"/>
      <c r="B12" s="287" t="n"/>
      <c r="C12" s="232" t="n"/>
      <c r="D12" s="232" t="n"/>
      <c r="E12" s="232" t="n"/>
      <c r="F12" s="246" t="n"/>
      <c r="G12" s="246" t="n"/>
      <c r="H12" s="232" t="n"/>
    </row>
    <row r="13">
      <c r="A13" s="254" t="inlineStr">
        <is>
          <t>2. SUPPORTING INTERPRETATIONS (PRIMARY HYPOTHESES &amp; MODELS)</t>
        </is>
      </c>
    </row>
    <row r="14">
      <c r="A14" s="288" t="inlineStr">
        <is>
          <t>Core Research Inquiry (?):</t>
        </is>
      </c>
      <c r="B14" s="175">
        <f t="array" ref="B14">INDEX(DATA_IO!B:B, MATCH(TRIM(MID(SUBSTITUTE(INDEX(DATA_KO!F:F, MATCH($B$6, DATA_KO!A:A, 0)), ",", REPT(" ", 500)), 1, 500)), DATA_IO!A:A, 0))</f>
        <v/>
      </c>
      <c r="F14" s="175" t="inlineStr">
        <is>
          <t>Model IO ID:</t>
        </is>
      </c>
      <c r="G14" s="206">
        <f t="array" ref="G14">TRIM(MID(SUBSTITUTE(INDEX(DATA_KO!F:F, MATCH($B$6, DATA_KO!A:A, 0)), ",", REPT(" ", 500)), 1, 500))</f>
        <v/>
      </c>
    </row>
    <row r="15">
      <c r="A15" s="175" t="inlineStr">
        <is>
          <t>Primary Model (Hypothesis A):</t>
        </is>
      </c>
      <c r="B15" s="220">
        <f t="array" ref="B15">INDEX(DATA_IO!C:C, MATCH(TRIM(MID(SUBSTITUTE(INDEX(DATA_KO!F:F, MATCH($B$6, DATA_KO!A:A, 0)), ",", REPT(" ", 500)), 1, 500)), DATA_IO!A:A, 0))</f>
        <v/>
      </c>
      <c r="F15" s="175" t="inlineStr">
        <is>
          <t>Model Confidence:</t>
        </is>
      </c>
      <c r="G15" s="206">
        <f t="array" ref="G15">TEXT(INDEX(DATA_IO!G:G, MATCH(TRIM(MID(SUBSTITUTE(INDEX(DATA_KO!F:F, MATCH($B$6, DATA_KO!A:A, 0)), ",", REPT(" ", 500)), 1, 500)), DATA_IO!A:A, 0)), "0.00")</f>
        <v/>
      </c>
    </row>
    <row r="16">
      <c r="A16" s="246" t="n"/>
      <c r="B16" s="287" t="n"/>
      <c r="C16" s="232" t="n"/>
      <c r="D16" s="232" t="n"/>
      <c r="E16" s="232" t="n"/>
      <c r="F16" s="246" t="n"/>
      <c r="G16" s="246" t="n"/>
      <c r="H16" s="232" t="n"/>
    </row>
    <row r="17">
      <c r="A17" s="254" t="inlineStr">
        <is>
          <t>3. COMPETING INTERPRETATIONS (FALSIFICATION &amp; COUNTER-HYPOTHESES)</t>
        </is>
      </c>
    </row>
    <row r="18">
      <c r="A18" s="175" t="inlineStr">
        <is>
          <t>Competing Counter-Hypothesis B:</t>
        </is>
      </c>
      <c r="B18" s="220">
        <f t="array" ref="B18">INDEX(DATA_IO!D:D, MATCH(TRIM(MID(SUBSTITUTE(INDEX(DATA_KO!F:F, MATCH($B$6, DATA_KO!A:A, 0)), ",", REPT(" ", 500)), 1, 500)), DATA_IO!A:A, 0))</f>
        <v/>
      </c>
      <c r="F18" s="175" t="inlineStr">
        <is>
          <t>Future Research Trigger:</t>
        </is>
      </c>
      <c r="G18" s="220">
        <f t="array" ref="G18">INDEX(DATA_IO!I:I, MATCH(TRIM(MID(SUBSTITUTE(INDEX(DATA_KO!F:F, MATCH($B$6, DATA_KO!A:A, 0)), ",", REPT(" ", 500)), 1, 500)), DATA_IO!A:A, 0))</f>
        <v/>
      </c>
    </row>
    <row r="19">
      <c r="A19" s="243" t="n"/>
      <c r="B19" s="232" t="n"/>
      <c r="C19" s="232" t="n"/>
      <c r="D19" s="232" t="n"/>
      <c r="E19" s="232" t="n"/>
      <c r="F19" s="232" t="n"/>
      <c r="G19" s="232" t="n"/>
      <c r="H19" s="232" t="n"/>
    </row>
    <row r="20">
      <c r="A20" s="225" t="inlineStr">
        <is>
          <t>4. EVIDENCE PROFILE (GROUND TRUTH EMPIRICAL OBSERVATIONS)</t>
        </is>
      </c>
    </row>
    <row r="21" ht="15.75" customHeight="1" s="132">
      <c r="A21" s="225" t="inlineStr">
        <is>
          <t>Evidence_Object_ID</t>
        </is>
      </c>
      <c r="B21" s="289" t="inlineStr">
        <is>
          <t>Source_ID</t>
        </is>
      </c>
      <c r="C21" s="289" t="inlineStr">
        <is>
          <t>Timestamp / Page</t>
        </is>
      </c>
      <c r="D21" s="289" t="inlineStr">
        <is>
          <t>Presenter / Analyst</t>
        </is>
      </c>
      <c r="E21" s="289" t="inlineStr">
        <is>
          <t>Evidence Type</t>
        </is>
      </c>
      <c r="F21" s="290" t="inlineStr">
        <is>
          <t>Direct Empirical Observation</t>
        </is>
      </c>
    </row>
    <row r="22" ht="15.75" customHeight="1" s="132">
      <c r="A22" s="291">
        <f t="array" ref="A22">IFERROR(TRIM(MID(SUBSTITUTE(INDEX(DATA_KO!E:E, MATCH($B$6, DATA_KO!A:A, 0)), ",", REPT(" ", 500)), (1-1)*500+1, 500)), "")</f>
        <v/>
      </c>
      <c r="B22" s="292">
        <f t="array" ref="B22">IF(A22="","", IFERROR(INDEX(DATA_EO!B:B, MATCH(A22, DATA_EO!A:A, 0)), "SOURCE_GAP"))</f>
        <v/>
      </c>
      <c r="C22" s="292">
        <f t="array" ref="C22">IF(A22="","", IFERROR(INDEX(DATA_EO!J:J, MATCH(A22, DATA_EO!A:A, 0)), "N/A"))</f>
        <v/>
      </c>
      <c r="D22" s="292">
        <f t="array" ref="D22">IF(A22="","", IFERROR(INDEX(DATA_EO!D:D, MATCH(A22, DATA_EO!A:A, 0)), "N/A"))</f>
        <v/>
      </c>
      <c r="E22" s="292">
        <f t="array" ref="E22">IF(A22="","", IFERROR(INDEX(DATA_EO!K:K, MATCH(A22, DATA_EO!A:A, 0)), "N/A"))</f>
        <v/>
      </c>
      <c r="F22" s="220">
        <f t="array" ref="F22">IF(A22="","", IFERROR(INDEX(DATA_EO!L:L, MATCH(A22, DATA_EO!A:A, 0)), "N/A"))</f>
        <v/>
      </c>
    </row>
    <row r="23" ht="15.75" customHeight="1" s="132">
      <c r="A23" s="291">
        <f t="array" ref="A23">IFERROR(TRIM(MID(SUBSTITUTE(INDEX(DATA_KO!E:E, MATCH($B$6, DATA_KO!A:A, 0)), ",", REPT(" ", 500)), (2-1)*500+1, 500)), "")</f>
        <v/>
      </c>
      <c r="B23" s="292">
        <f t="array" ref="B23">IF(A23="","", IFERROR(INDEX(DATA_EO!B:B, MATCH(A23, DATA_EO!A:A, 0)), "SOURCE_GAP"))</f>
        <v/>
      </c>
      <c r="C23" s="292">
        <f t="array" ref="C23">IF(A23="","", IFERROR(INDEX(DATA_EO!J:J, MATCH(A23, DATA_EO!A:A, 0)), "N/A"))</f>
        <v/>
      </c>
      <c r="D23" s="292">
        <f t="array" ref="D23">IF(A23="","", IFERROR(INDEX(DATA_EO!D:D, MATCH(A23, DATA_EO!A:A, 0)), "N/A"))</f>
        <v/>
      </c>
      <c r="E23" s="292">
        <f t="array" ref="E23">IF(A23="","", IFERROR(INDEX(DATA_EO!K:K, MATCH(A23, DATA_EO!A:A, 0)), "N/A"))</f>
        <v/>
      </c>
      <c r="F23" s="220">
        <f t="array" ref="F23">IF(A23="","", IFERROR(INDEX(DATA_EO!L:L, MATCH(A23, DATA_EO!A:A, 0)), "N/A"))</f>
        <v/>
      </c>
    </row>
    <row r="24" ht="15.75" customHeight="1" s="132">
      <c r="A24" s="291">
        <f t="array" ref="A24">IFERROR(TRIM(MID(SUBSTITUTE(INDEX(DATA_KO!E:E, MATCH($B$6, DATA_KO!A:A, 0)), ",", REPT(" ", 500)), (3-1)*500+1, 500)), "")</f>
        <v/>
      </c>
      <c r="B24" s="292">
        <f t="array" ref="B24">IF(A24="","", IFERROR(INDEX(DATA_EO!B:B, MATCH(A24, DATA_EO!A:A, 0)), "SOURCE_GAP"))</f>
        <v/>
      </c>
      <c r="C24" s="292">
        <f t="array" ref="C24">IF(A24="","", IFERROR(INDEX(DATA_EO!J:J, MATCH(A24, DATA_EO!A:A, 0)), "N/A"))</f>
        <v/>
      </c>
      <c r="D24" s="292">
        <f t="array" ref="D24">IF(A24="","", IFERROR(INDEX(DATA_EO!D:D, MATCH(A24, DATA_EO!A:A, 0)), "N/A"))</f>
        <v/>
      </c>
      <c r="E24" s="292">
        <f t="array" ref="E24">IF(A24="","", IFERROR(INDEX(DATA_EO!K:K, MATCH(A24, DATA_EO!A:A, 0)), "N/A"))</f>
        <v/>
      </c>
      <c r="F24" s="220">
        <f t="array" ref="F24">IF(A24="","", IFERROR(INDEX(DATA_EO!L:L, MATCH(A24, DATA_EO!A:A, 0)), "N/A"))</f>
        <v/>
      </c>
    </row>
    <row r="25" ht="15.75" customHeight="1" s="132">
      <c r="A25" s="293" t="n"/>
      <c r="B25" s="294" t="n"/>
      <c r="C25" s="294" t="n"/>
      <c r="D25" s="294" t="n"/>
      <c r="E25" s="294" t="n"/>
      <c r="F25" s="287" t="n"/>
      <c r="G25" s="295" t="n"/>
      <c r="H25" s="293" t="n"/>
    </row>
    <row r="26" ht="15.75" customHeight="1" s="132">
      <c r="A26" s="254" t="inlineStr">
        <is>
          <t>5. SOURCE RECORDS &amp; CRYPTOGRAPHIC PROVENANCE</t>
        </is>
      </c>
    </row>
    <row r="27" ht="15.75" customHeight="1" s="132">
      <c r="A27" s="288" t="inlineStr">
        <is>
          <t>Origin Media Source Anchor:</t>
        </is>
      </c>
      <c r="B27" s="206">
        <f t="array" ref="B27">INDEX(DATA_KO!D:D, MATCH($B$6, DATA_KO!A:A, 0))</f>
        <v/>
      </c>
      <c r="D27" s="175" t="inlineStr">
        <is>
          <t>Speaker / Channel:</t>
        </is>
      </c>
      <c r="E27" s="220">
        <f t="array" ref="E27">INDEX(DATA_EO!D:D, MATCH(A22, DATA_EO!A:A, 0)) &amp; " (" &amp; INDEX(DATA_EO!E:E, MATCH(A22, DATA_EO!A:A, 0)) &amp; ")"</f>
        <v/>
      </c>
      <c r="G27" s="175" t="inlineStr">
        <is>
          <t>Obsidian Second-Brain Link:</t>
        </is>
      </c>
      <c r="H27" s="222">
        <f>"[[" &amp; $B$6 &amp; "]]"</f>
        <v/>
      </c>
    </row>
    <row r="28" ht="15.75" customHeight="1" s="132">
      <c r="A28" s="296" t="n"/>
      <c r="B28" s="296" t="n"/>
      <c r="C28" s="296" t="n"/>
      <c r="D28" s="296" t="n"/>
      <c r="E28" s="296" t="n"/>
      <c r="F28" s="296" t="n"/>
      <c r="G28" s="296" t="n"/>
      <c r="H28" s="296" t="n"/>
    </row>
    <row r="29" ht="15.75" customHeight="1" s="132">
      <c r="A29" s="297" t="inlineStr">
        <is>
          <t>HUMAN GOVERNANCE DECISION:</t>
        </is>
      </c>
      <c r="B29" s="257">
        <f>HYPERLINK("#'07_Human_Decision_Log'!A1", "➔ [ RECORD FORMAL HUMAN DECISION IN DECISION LOG (ACCEPT / HOLD / REJECT / FURTHER RESEARCH) ]")</f>
        <v/>
      </c>
    </row>
    <row r="30" ht="15.75" customHeight="1" s="132">
      <c r="A30" s="293" t="n"/>
      <c r="B30" s="287" t="n"/>
      <c r="C30" s="287" t="n"/>
      <c r="D30" s="294" t="n"/>
      <c r="E30" s="294" t="n"/>
      <c r="F30" s="294" t="n"/>
      <c r="G30" s="293" t="n"/>
      <c r="H30" s="293" t="n"/>
    </row>
    <row r="31" ht="15.75" customHeight="1" s="132">
      <c r="A31" s="293" t="n"/>
      <c r="B31" s="287" t="n"/>
      <c r="C31" s="287" t="n"/>
      <c r="D31" s="294" t="n"/>
      <c r="E31" s="294" t="n"/>
      <c r="F31" s="294" t="n"/>
      <c r="G31" s="293" t="n"/>
      <c r="H31" s="293" t="n"/>
    </row>
    <row r="32" ht="15.75" customHeight="1" s="132">
      <c r="A32" s="293" t="n"/>
      <c r="B32" s="287" t="n"/>
      <c r="C32" s="287" t="n"/>
      <c r="D32" s="294" t="n"/>
      <c r="E32" s="294" t="n"/>
      <c r="F32" s="294" t="n"/>
      <c r="G32" s="293" t="n"/>
      <c r="H32" s="293" t="n"/>
    </row>
    <row r="33" ht="15.75" customHeight="1" s="132">
      <c r="A33" s="293" t="n"/>
      <c r="B33" s="287" t="n"/>
      <c r="C33" s="287" t="n"/>
      <c r="D33" s="294" t="n"/>
      <c r="E33" s="294" t="n"/>
      <c r="F33" s="294" t="n"/>
      <c r="G33" s="293" t="n"/>
      <c r="H33" s="293" t="n"/>
    </row>
    <row r="34" ht="15.75" customHeight="1" s="132">
      <c r="A34" s="293" t="n"/>
      <c r="B34" s="287" t="n"/>
      <c r="C34" s="287" t="n"/>
      <c r="D34" s="294" t="n"/>
      <c r="E34" s="294" t="n"/>
      <c r="F34" s="294" t="n"/>
      <c r="G34" s="293" t="n"/>
      <c r="H34" s="293" t="n"/>
    </row>
    <row r="35" ht="15.75" customHeight="1" s="132">
      <c r="A35" s="293" t="n"/>
      <c r="B35" s="287" t="n"/>
      <c r="C35" s="287" t="n"/>
      <c r="D35" s="294" t="n"/>
      <c r="E35" s="294" t="n"/>
      <c r="F35" s="294" t="n"/>
      <c r="G35" s="293" t="n"/>
      <c r="H35" s="293" t="n"/>
    </row>
    <row r="36" ht="15.75" customHeight="1" s="132">
      <c r="A36" s="293" t="n"/>
      <c r="B36" s="287" t="n"/>
      <c r="C36" s="287" t="n"/>
      <c r="D36" s="294" t="n"/>
      <c r="E36" s="294" t="n"/>
      <c r="F36" s="294" t="n"/>
      <c r="G36" s="293" t="n"/>
      <c r="H36" s="293" t="n"/>
    </row>
    <row r="37" ht="15.75" customHeight="1" s="132">
      <c r="A37" s="293" t="n"/>
      <c r="B37" s="287" t="n"/>
      <c r="C37" s="287" t="n"/>
      <c r="D37" s="294" t="n"/>
      <c r="E37" s="294" t="n"/>
      <c r="F37" s="294" t="n"/>
      <c r="G37" s="293" t="n"/>
      <c r="H37" s="293" t="n"/>
    </row>
    <row r="38" ht="15.75" customHeight="1" s="132">
      <c r="A38" s="293" t="n"/>
      <c r="B38" s="287" t="n"/>
      <c r="C38" s="287" t="n"/>
      <c r="D38" s="294" t="n"/>
      <c r="E38" s="294" t="n"/>
      <c r="F38" s="294" t="n"/>
      <c r="G38" s="293" t="n"/>
      <c r="H38" s="293" t="n"/>
    </row>
    <row r="39" ht="15.75" customHeight="1" s="132">
      <c r="A39" s="293" t="n"/>
      <c r="B39" s="287" t="n"/>
      <c r="C39" s="287" t="n"/>
      <c r="D39" s="294" t="n"/>
      <c r="E39" s="294" t="n"/>
      <c r="F39" s="294" t="n"/>
      <c r="G39" s="293" t="n"/>
      <c r="H39" s="293" t="n"/>
    </row>
    <row r="40" ht="15.75" customHeight="1" s="132">
      <c r="A40" s="293" t="n"/>
      <c r="B40" s="287" t="n"/>
      <c r="C40" s="287" t="n"/>
      <c r="D40" s="294" t="n"/>
      <c r="E40" s="294" t="n"/>
      <c r="F40" s="294" t="n"/>
      <c r="G40" s="293" t="n"/>
      <c r="H40" s="293" t="n"/>
    </row>
    <row r="41" ht="15.75" customHeight="1" s="132">
      <c r="A41" s="293" t="n"/>
      <c r="B41" s="287" t="n"/>
      <c r="C41" s="287" t="n"/>
      <c r="D41" s="294" t="n"/>
      <c r="E41" s="294" t="n"/>
      <c r="F41" s="294" t="n"/>
      <c r="G41" s="293" t="n"/>
      <c r="H41" s="293" t="n"/>
    </row>
    <row r="42" ht="15.75" customHeight="1" s="132">
      <c r="A42" s="293" t="n"/>
      <c r="B42" s="287" t="n"/>
      <c r="C42" s="287" t="n"/>
      <c r="D42" s="294" t="n"/>
      <c r="E42" s="294" t="n"/>
      <c r="F42" s="294" t="n"/>
      <c r="G42" s="293" t="n"/>
      <c r="H42" s="293" t="n"/>
    </row>
    <row r="43" ht="15.75" customHeight="1" s="132">
      <c r="A43" s="293" t="n"/>
      <c r="B43" s="287" t="n"/>
      <c r="C43" s="287" t="n"/>
      <c r="D43" s="294" t="n"/>
      <c r="E43" s="294" t="n"/>
      <c r="F43" s="294" t="n"/>
      <c r="G43" s="293" t="n"/>
      <c r="H43" s="293" t="n"/>
    </row>
    <row r="44" ht="15.75" customHeight="1" s="132">
      <c r="A44" s="293" t="n"/>
      <c r="B44" s="287" t="n"/>
      <c r="C44" s="287" t="n"/>
      <c r="D44" s="294" t="n"/>
      <c r="E44" s="294" t="n"/>
      <c r="F44" s="294" t="n"/>
      <c r="G44" s="293" t="n"/>
      <c r="H44" s="293" t="n"/>
    </row>
    <row r="45" ht="15.75" customHeight="1" s="132">
      <c r="A45" s="298">
        <f>DATA_KO!A18</f>
        <v/>
      </c>
      <c r="B45" s="299">
        <f>DATA_KO!B18</f>
        <v/>
      </c>
      <c r="C45" s="299">
        <f>DATA_KO!C18</f>
        <v/>
      </c>
      <c r="D45" s="300">
        <f>DATA_KO!D18</f>
        <v/>
      </c>
      <c r="E45" s="300">
        <f>IF(DATA_KO!F18="","", LEN(DATA_KO!F18)-LEN(SUBSTITUTE(DATA_KO!F18, ",", ""))+1)</f>
        <v/>
      </c>
      <c r="F45" s="300">
        <f>IF(DATA_KO!E18="","", LEN(DATA_KO!E18)-LEN(SUBSTITUTE(DATA_KO!E18, ",", ""))+1)</f>
        <v/>
      </c>
      <c r="G45" s="298">
        <f>IF(OR(DATA_KO!E18="", DATA_KO!F18=""), "BROKEN_LINEAGE", IF(DATA_KO!H18="QUARANTINED_SYNTHETIC_FIXTURE", "QUARANTINED_FIXTURE", IF(OR(DATA_KO!H18="CANDIDATE", DATA_KO!G18&lt;0.8), "WARNING_REVIEW_REQUIRED", "VERIFIED_COMPLETE")))</f>
        <v/>
      </c>
      <c r="H45" s="298">
        <f>IF(G45="BROKEN_LINEAGE", "HALT: RESOLVE DANGLING OBJECT", IF(G45="QUARANTINED_FIXTURE", "EXCLUDED: QUARANTINED SYNTHETIC FIXTURE", IF(G45="WARNING_REVIEW_REQUIRED", "QUEUE FOR LEVEL 5 RATIFICATION", "RATIFIED CANONICAL")))</f>
        <v/>
      </c>
    </row>
    <row r="46" ht="15.75" customHeight="1" s="132">
      <c r="A46" s="298">
        <f>DATA_KO!A19</f>
        <v/>
      </c>
      <c r="B46" s="299">
        <f>DATA_KO!B19</f>
        <v/>
      </c>
      <c r="C46" s="299">
        <f>DATA_KO!C19</f>
        <v/>
      </c>
      <c r="D46" s="300">
        <f>DATA_KO!D19</f>
        <v/>
      </c>
      <c r="E46" s="300">
        <f>IF(DATA_KO!F19="","", LEN(DATA_KO!F19)-LEN(SUBSTITUTE(DATA_KO!F19, ",", ""))+1)</f>
        <v/>
      </c>
      <c r="F46" s="300">
        <f>IF(DATA_KO!E19="","", LEN(DATA_KO!E19)-LEN(SUBSTITUTE(DATA_KO!E19, ",", ""))+1)</f>
        <v/>
      </c>
      <c r="G46" s="298">
        <f>IF(OR(DATA_KO!E19="", DATA_KO!F19=""), "BROKEN_LINEAGE", IF(DATA_KO!H19="QUARANTINED_SYNTHETIC_FIXTURE", "QUARANTINED_FIXTURE", IF(OR(DATA_KO!H19="CANDIDATE", DATA_KO!G19&lt;0.8), "WARNING_REVIEW_REQUIRED", "VERIFIED_COMPLETE")))</f>
        <v/>
      </c>
      <c r="H46" s="298">
        <f>IF(G46="BROKEN_LINEAGE", "HALT: RESOLVE DANGLING OBJECT", IF(G46="QUARANTINED_FIXTURE", "EXCLUDED: QUARANTINED SYNTHETIC FIXTURE", IF(G46="WARNING_REVIEW_REQUIRED", "QUEUE FOR LEVEL 5 RATIFICATION", "RATIFIED CANONICAL")))</f>
        <v/>
      </c>
    </row>
    <row r="47" ht="15.75" customHeight="1" s="132"/>
    <row r="48" ht="15.75" customHeight="1" s="132"/>
    <row r="49" ht="15.75" customHeight="1" s="132"/>
    <row r="50" ht="15.75" customHeight="1" s="132"/>
    <row r="51" ht="15.75" customHeight="1" s="132"/>
    <row r="52" ht="15.75" customHeight="1" s="132"/>
    <row r="53" ht="15.75" customHeight="1" s="132"/>
    <row r="54" ht="15.75" customHeight="1" s="132"/>
    <row r="55" ht="15.75" customHeight="1" s="132"/>
    <row r="56" ht="15.75" customHeight="1" s="132"/>
    <row r="57" ht="15.75" customHeight="1" s="132"/>
    <row r="58" ht="15.75" customHeight="1" s="132"/>
    <row r="59" ht="15.75" customHeight="1" s="132"/>
    <row r="60" ht="15.75" customHeight="1" s="132"/>
    <row r="61" ht="15.75" customHeight="1" s="132"/>
    <row r="62" ht="15.75" customHeight="1" s="132"/>
    <row r="63" ht="15.75" customHeight="1" s="132"/>
    <row r="64" ht="15.75" customHeight="1" s="132"/>
    <row r="65" ht="15.75" customHeight="1" s="132"/>
    <row r="66" ht="15.75" customHeight="1" s="132"/>
    <row r="67" ht="15.75" customHeight="1" s="132"/>
    <row r="68" ht="15.75" customHeight="1" s="132"/>
    <row r="69" ht="15.75" customHeight="1" s="132"/>
    <row r="70" ht="15.75" customHeight="1" s="132"/>
    <row r="71" ht="15.75" customHeight="1" s="132"/>
    <row r="72" ht="15.75" customHeight="1" s="132"/>
    <row r="73" ht="15.75" customHeight="1" s="132"/>
    <row r="74" ht="15.75" customHeight="1" s="132"/>
    <row r="75" ht="15.75" customHeight="1" s="132"/>
    <row r="76" ht="15.75" customHeight="1" s="132"/>
    <row r="77" ht="15.75" customHeight="1" s="132"/>
    <row r="78" ht="15.75" customHeight="1" s="132"/>
    <row r="79" ht="15.75" customHeight="1" s="132"/>
    <row r="80" ht="15.75" customHeight="1" s="132"/>
    <row r="81" ht="15.75" customHeight="1" s="132"/>
    <row r="82" ht="15.75" customHeight="1" s="132"/>
    <row r="83" ht="15.75" customHeight="1" s="132"/>
    <row r="84" ht="15.75" customHeight="1" s="132"/>
    <row r="85" ht="15.75" customHeight="1" s="132"/>
    <row r="86" ht="15.75" customHeight="1" s="132"/>
    <row r="87" ht="15.75" customHeight="1" s="132"/>
    <row r="88" ht="15.75" customHeight="1" s="132"/>
    <row r="89" ht="15.75" customHeight="1" s="132"/>
    <row r="90" ht="15.75" customHeight="1" s="132"/>
    <row r="91" ht="15.75" customHeight="1" s="132"/>
    <row r="92" ht="15.75" customHeight="1" s="132"/>
    <row r="93" ht="15.75" customHeight="1" s="132"/>
    <row r="94" ht="15.75" customHeight="1" s="132"/>
    <row r="95" ht="15.75" customHeight="1" s="132"/>
    <row r="96" ht="15.75" customHeight="1" s="132"/>
    <row r="97" ht="15.75" customHeight="1" s="132"/>
    <row r="98" ht="15.75" customHeight="1" s="132"/>
    <row r="99" ht="15.75" customHeight="1" s="132"/>
    <row r="100" ht="15.75" customHeight="1" s="132"/>
    <row r="101" ht="15.75" customHeight="1" s="132"/>
    <row r="102" ht="15.75" customHeight="1" s="132"/>
    <row r="103" ht="15.75" customHeight="1" s="132"/>
    <row r="104" ht="15.75" customHeight="1" s="132"/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mergeCells count="23">
    <mergeCell ref="A9:H9"/>
    <mergeCell ref="G11:H11"/>
    <mergeCell ref="B15:E15"/>
    <mergeCell ref="B27:C27"/>
    <mergeCell ref="F23:H23"/>
    <mergeCell ref="F22:H22"/>
    <mergeCell ref="G10:H10"/>
    <mergeCell ref="B7:H7"/>
    <mergeCell ref="G18:H18"/>
    <mergeCell ref="B18:E18"/>
    <mergeCell ref="A26:H26"/>
    <mergeCell ref="G15:H15"/>
    <mergeCell ref="E27:F27"/>
    <mergeCell ref="B11:E11"/>
    <mergeCell ref="G14:H14"/>
    <mergeCell ref="B14:E14"/>
    <mergeCell ref="A17:H17"/>
    <mergeCell ref="A20:H20"/>
    <mergeCell ref="A13:H13"/>
    <mergeCell ref="B29:H29"/>
    <mergeCell ref="B10:E10"/>
    <mergeCell ref="F21:H21"/>
    <mergeCell ref="F24:H24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4.43" defaultRowHeight="15" customHeight="1" outlineLevelRow="2"/>
  <cols>
    <col width="12" customWidth="1" style="132" min="1" max="1"/>
    <col width="38" customWidth="1" style="132" min="2" max="2"/>
    <col width="24" customWidth="1" style="132" min="3" max="3"/>
    <col width="45" customWidth="1" style="132" min="4" max="4"/>
    <col width="14" customWidth="1" style="132" min="5" max="6"/>
    <col width="32" customWidth="1" style="132" min="7" max="7"/>
    <col width="20" customWidth="1" style="132" min="8" max="8"/>
    <col width="16" customWidth="1" style="132" min="9" max="9"/>
    <col width="14" customWidth="1" style="132" min="10" max="10"/>
    <col width="48" customWidth="1" style="132" min="11" max="11"/>
    <col width="8.710000000000001" customWidth="1" style="132" min="12" max="26"/>
  </cols>
  <sheetData>
    <row r="1">
      <c r="A1" s="175" t="inlineStr">
        <is>
          <t>RESEARCH INTELLIGENCE ENGINE (RIE) — HUMAN KNOWLEDGE REVIEW WORKFLOW</t>
        </is>
      </c>
      <c r="J1" s="260">
        <f>HYPERLINK("#'01_Executive_Dashboard'!A1", "⮌ BACK TO DASHBOARD")</f>
        <v/>
      </c>
    </row>
    <row r="2">
      <c r="A2" s="261">
        <f>"Pillar 5: Knowledge Frontier &amp; Epistemic Candidate Queue (" &amp; (COUNTIF(DATA_KO!H:H, "CANDIDATE") + COUNTIF(DATA_KO!H:H, "PENDING_HUMAN_REVIEW")) &amp; " Candidates) | Level 5 Authority"</f>
        <v/>
      </c>
    </row>
    <row r="3"/>
    <row r="4">
      <c r="A4" s="301" t="inlineStr">
        <is>
          <t>REVIEW WORKFLOW INVARIANTS: Allowed Review States: PENDING_ARCHITECT | UNDER_REVIEW | ACCEPTED | REJECTED | DEFERRED. Strictly NO automatic transition. NO AI promotion. Human Architect Level 5 decision required.</t>
        </is>
      </c>
      <c r="B4" s="140" t="n"/>
      <c r="C4" s="140" t="n"/>
      <c r="D4" s="140" t="n"/>
      <c r="E4" s="140" t="n"/>
      <c r="F4" s="140" t="n"/>
      <c r="G4" s="140" t="n"/>
      <c r="H4" s="140" t="n"/>
      <c r="I4" s="140" t="n"/>
      <c r="J4" s="140" t="n"/>
      <c r="K4" s="138" t="n"/>
    </row>
    <row r="5"/>
    <row r="6">
      <c r="A6" s="262" t="inlineStr">
        <is>
          <t>Queue_ID</t>
        </is>
      </c>
      <c r="B6" s="262" t="inlineStr">
        <is>
          <t>Subject_Object</t>
        </is>
      </c>
      <c r="C6" s="262" t="inlineStr">
        <is>
          <t>Item_Type</t>
        </is>
      </c>
      <c r="D6" s="262" t="inlineStr">
        <is>
          <t>Recommendation</t>
        </is>
      </c>
      <c r="E6" s="262" t="inlineStr">
        <is>
          <t>Evidence_Count</t>
        </is>
      </c>
      <c r="F6" s="262" t="inlineStr">
        <is>
          <t>Domain</t>
        </is>
      </c>
      <c r="G6" s="262" t="inlineStr">
        <is>
          <t>Confidence</t>
        </is>
      </c>
      <c r="H6" s="262" t="inlineStr">
        <is>
          <t>Review_Status</t>
        </is>
      </c>
      <c r="I6" s="262" t="inlineStr">
        <is>
          <t>Architect_Decision</t>
        </is>
      </c>
      <c r="J6" s="262" t="inlineStr">
        <is>
          <t>Review_Link</t>
        </is>
      </c>
      <c r="K6" s="212" t="inlineStr">
        <is>
          <t>Architect_Remark</t>
        </is>
      </c>
    </row>
    <row r="7">
      <c r="A7" s="271">
        <f>IF(DATA_KO!A2&lt;&gt;"","Q-"&amp;TEXT(1,"000"),"")</f>
        <v/>
      </c>
      <c r="B7" s="264">
        <f>IF(DATA_KO!A2&lt;&gt;"",""&amp;DATA_KO!A2,"")</f>
        <v/>
      </c>
      <c r="C7" s="271">
        <f>IF(A7&lt;&gt;"",""&amp;DATA_KO!H2&amp;"_KO","")</f>
        <v/>
      </c>
      <c r="D7" s="264">
        <f>IF(A7&lt;&gt;"","Candidate: "&amp;DATA_KO!B2,"")</f>
        <v/>
      </c>
      <c r="E7" s="271">
        <f>IF(A7&lt;&gt;"","EO: "&amp;DATA_KO!Q2&amp;", IO: "&amp;DATA_KO!R2,"")</f>
        <v/>
      </c>
      <c r="F7" s="271">
        <f>IF(A7&lt;&gt;"",""&amp;DATA_KO!C2,"")</f>
        <v/>
      </c>
      <c r="G7" s="302">
        <f>IF(A7&lt;&gt;"",DATA_KO!G2,"")</f>
        <v/>
      </c>
      <c r="H7" s="303">
        <f>IF(A7&lt;&gt;"",""&amp;DATA_KO!H2,"")</f>
        <v/>
      </c>
      <c r="I7" s="271">
        <f>IF(A7&lt;&gt;"",""&amp;DATA_KO!I2,"")</f>
        <v/>
      </c>
      <c r="J7" s="304">
        <f>IF(A7&lt;&gt;"","➔ Inspect Item","")</f>
        <v/>
      </c>
      <c r="K7" s="267" t="inlineStr">
        <is>
          <t>Queued for Human Architect Level 5 evaluation. No premature acceptance.</t>
        </is>
      </c>
    </row>
    <row r="8">
      <c r="A8" s="271">
        <f>IF(DATA_KO!A3&lt;&gt;"","Q-"&amp;TEXT(2,"000"),"")</f>
        <v/>
      </c>
      <c r="B8" s="264">
        <f>IF(DATA_KO!A3&lt;&gt;"",""&amp;DATA_KO!A3,"")</f>
        <v/>
      </c>
      <c r="C8" s="271">
        <f>IF(A8&lt;&gt;"",""&amp;DATA_KO!H3&amp;"_KO","")</f>
        <v/>
      </c>
      <c r="D8" s="264">
        <f>IF(A8&lt;&gt;"","Candidate: "&amp;DATA_KO!B3,"")</f>
        <v/>
      </c>
      <c r="E8" s="271">
        <f>IF(A8&lt;&gt;"","EO: "&amp;DATA_KO!Q3&amp;", IO: "&amp;DATA_KO!R3,"")</f>
        <v/>
      </c>
      <c r="F8" s="271">
        <f>IF(A8&lt;&gt;"",""&amp;DATA_KO!C3,"")</f>
        <v/>
      </c>
      <c r="G8" s="302">
        <f>IF(A8&lt;&gt;"",DATA_KO!G3,"")</f>
        <v/>
      </c>
      <c r="H8" s="303">
        <f>IF(A8&lt;&gt;"",""&amp;DATA_KO!H3,"")</f>
        <v/>
      </c>
      <c r="I8" s="271">
        <f>IF(A8&lt;&gt;"",""&amp;DATA_KO!I3,"")</f>
        <v/>
      </c>
      <c r="J8" s="304">
        <f>IF(A8&lt;&gt;"","➔ Inspect Item","")</f>
        <v/>
      </c>
      <c r="K8" s="267" t="inlineStr">
        <is>
          <t>Queued for Human Architect Level 5 evaluation. No premature acceptance.</t>
        </is>
      </c>
    </row>
    <row r="9">
      <c r="A9" s="271">
        <f>IF(DATA_KO!A4&lt;&gt;"","Q-"&amp;TEXT(3,"000"),"")</f>
        <v/>
      </c>
      <c r="B9" s="264">
        <f>IF(DATA_KO!A4&lt;&gt;"",""&amp;DATA_KO!A4,"")</f>
        <v/>
      </c>
      <c r="C9" s="271">
        <f>IF(A9&lt;&gt;"",""&amp;DATA_KO!H4&amp;"_KO","")</f>
        <v/>
      </c>
      <c r="D9" s="264">
        <f>IF(A9&lt;&gt;"","Candidate: "&amp;DATA_KO!B4,"")</f>
        <v/>
      </c>
      <c r="E9" s="271">
        <f>IF(A9&lt;&gt;"","EO: "&amp;DATA_KO!Q4&amp;", IO: "&amp;DATA_KO!R4,"")</f>
        <v/>
      </c>
      <c r="F9" s="271">
        <f>IF(A9&lt;&gt;"",""&amp;DATA_KO!C4,"")</f>
        <v/>
      </c>
      <c r="G9" s="302">
        <f>IF(A9&lt;&gt;"",DATA_KO!G4,"")</f>
        <v/>
      </c>
      <c r="H9" s="303">
        <f>IF(A9&lt;&gt;"",""&amp;DATA_KO!H4,"")</f>
        <v/>
      </c>
      <c r="I9" s="271">
        <f>IF(A9&lt;&gt;"",""&amp;DATA_KO!I4,"")</f>
        <v/>
      </c>
      <c r="J9" s="304">
        <f>IF(A9&lt;&gt;"","➔ Inspect Item","")</f>
        <v/>
      </c>
      <c r="K9" s="267" t="inlineStr">
        <is>
          <t>Queued for Human Architect Level 5 evaluation. No premature acceptance.</t>
        </is>
      </c>
    </row>
    <row r="10">
      <c r="A10" s="271">
        <f>IF(DATA_KO!A5&lt;&gt;"","Q-"&amp;TEXT(4,"000"),"")</f>
        <v/>
      </c>
      <c r="B10" s="264">
        <f>IF(DATA_KO!A5&lt;&gt;"",""&amp;DATA_KO!A5,"")</f>
        <v/>
      </c>
      <c r="C10" s="271">
        <f>IF(A10&lt;&gt;"",""&amp;DATA_KO!H5&amp;"_KO","")</f>
        <v/>
      </c>
      <c r="D10" s="264">
        <f>IF(A10&lt;&gt;"","Candidate: "&amp;DATA_KO!B5,"")</f>
        <v/>
      </c>
      <c r="E10" s="271">
        <f>IF(A10&lt;&gt;"","EO: "&amp;DATA_KO!Q5&amp;", IO: "&amp;DATA_KO!R5,"")</f>
        <v/>
      </c>
      <c r="F10" s="271">
        <f>IF(A10&lt;&gt;"",""&amp;DATA_KO!C5,"")</f>
        <v/>
      </c>
      <c r="G10" s="302">
        <f>IF(A10&lt;&gt;"",DATA_KO!G5,"")</f>
        <v/>
      </c>
      <c r="H10" s="303">
        <f>IF(A10&lt;&gt;"",""&amp;DATA_KO!H5,"")</f>
        <v/>
      </c>
      <c r="I10" s="271">
        <f>IF(A10&lt;&gt;"",""&amp;DATA_KO!I5,"")</f>
        <v/>
      </c>
      <c r="J10" s="304">
        <f>IF(A10&lt;&gt;"","➔ Inspect Item","")</f>
        <v/>
      </c>
      <c r="K10" s="267" t="inlineStr">
        <is>
          <t>Queued for Human Architect Level 5 evaluation. No premature acceptance.</t>
        </is>
      </c>
    </row>
    <row r="11">
      <c r="A11" s="271">
        <f>IF(DATA_KO!A6&lt;&gt;"","Q-"&amp;TEXT(5,"000"),"")</f>
        <v/>
      </c>
      <c r="B11" s="264">
        <f>IF(DATA_KO!A6&lt;&gt;"",""&amp;DATA_KO!A6,"")</f>
        <v/>
      </c>
      <c r="C11" s="271">
        <f>IF(A11&lt;&gt;"",""&amp;DATA_KO!H6&amp;"_KO","")</f>
        <v/>
      </c>
      <c r="D11" s="264">
        <f>IF(A11&lt;&gt;"","Candidate: "&amp;DATA_KO!B6,"")</f>
        <v/>
      </c>
      <c r="E11" s="271">
        <f>IF(A11&lt;&gt;"","EO: "&amp;DATA_KO!Q6&amp;", IO: "&amp;DATA_KO!R6,"")</f>
        <v/>
      </c>
      <c r="F11" s="271">
        <f>IF(A11&lt;&gt;"",""&amp;DATA_KO!C6,"")</f>
        <v/>
      </c>
      <c r="G11" s="302">
        <f>IF(A11&lt;&gt;"",DATA_KO!G6,"")</f>
        <v/>
      </c>
      <c r="H11" s="303">
        <f>IF(A11&lt;&gt;"",""&amp;DATA_KO!H6,"")</f>
        <v/>
      </c>
      <c r="I11" s="271">
        <f>IF(A11&lt;&gt;"",""&amp;DATA_KO!I6,"")</f>
        <v/>
      </c>
      <c r="J11" s="304">
        <f>IF(A11&lt;&gt;"","➔ Inspect Item","")</f>
        <v/>
      </c>
      <c r="K11" s="267" t="inlineStr">
        <is>
          <t>Queued for Human Architect Level 5 evaluation. No premature acceptance.</t>
        </is>
      </c>
    </row>
    <row r="12">
      <c r="A12" s="271">
        <f>IF(DATA_KO!A7&lt;&gt;"","Q-"&amp;TEXT(6,"000"),"")</f>
        <v/>
      </c>
      <c r="B12" s="264">
        <f>IF(DATA_KO!A7&lt;&gt;"",""&amp;DATA_KO!A7,"")</f>
        <v/>
      </c>
      <c r="C12" s="271">
        <f>IF(A12&lt;&gt;"",""&amp;DATA_KO!H7&amp;"_KO","")</f>
        <v/>
      </c>
      <c r="D12" s="264">
        <f>IF(A12&lt;&gt;"","Candidate: "&amp;DATA_KO!B7,"")</f>
        <v/>
      </c>
      <c r="E12" s="271">
        <f>IF(A12&lt;&gt;"","EO: "&amp;DATA_KO!Q7&amp;", IO: "&amp;DATA_KO!R7,"")</f>
        <v/>
      </c>
      <c r="F12" s="271">
        <f>IF(A12&lt;&gt;"",""&amp;DATA_KO!C7,"")</f>
        <v/>
      </c>
      <c r="G12" s="302">
        <f>IF(A12&lt;&gt;"",DATA_KO!G7,"")</f>
        <v/>
      </c>
      <c r="H12" s="303">
        <f>IF(A12&lt;&gt;"",""&amp;DATA_KO!H7,"")</f>
        <v/>
      </c>
      <c r="I12" s="271">
        <f>IF(A12&lt;&gt;"",""&amp;DATA_KO!I7,"")</f>
        <v/>
      </c>
      <c r="J12" s="304">
        <f>IF(A12&lt;&gt;"","➔ Inspect Item","")</f>
        <v/>
      </c>
      <c r="K12" s="267" t="inlineStr">
        <is>
          <t>Queued for Human Architect Level 5 evaluation. No premature acceptance.</t>
        </is>
      </c>
    </row>
    <row r="13">
      <c r="A13" s="271">
        <f>IF(DATA_KO!A8&lt;&gt;"","Q-"&amp;TEXT(7,"000"),"")</f>
        <v/>
      </c>
      <c r="B13" s="264">
        <f>IF(DATA_KO!A8&lt;&gt;"",""&amp;DATA_KO!A8,"")</f>
        <v/>
      </c>
      <c r="C13" s="271">
        <f>IF(A13&lt;&gt;"",""&amp;DATA_KO!H8&amp;"_KO","")</f>
        <v/>
      </c>
      <c r="D13" s="264">
        <f>IF(A13&lt;&gt;"","Candidate: "&amp;DATA_KO!B8,"")</f>
        <v/>
      </c>
      <c r="E13" s="271">
        <f>IF(A13&lt;&gt;"","EO: "&amp;DATA_KO!Q8&amp;", IO: "&amp;DATA_KO!R8,"")</f>
        <v/>
      </c>
      <c r="F13" s="271">
        <f>IF(A13&lt;&gt;"",""&amp;DATA_KO!C8,"")</f>
        <v/>
      </c>
      <c r="G13" s="302">
        <f>IF(A13&lt;&gt;"",DATA_KO!G8,"")</f>
        <v/>
      </c>
      <c r="H13" s="303">
        <f>IF(A13&lt;&gt;"",""&amp;DATA_KO!H8,"")</f>
        <v/>
      </c>
      <c r="I13" s="271">
        <f>IF(A13&lt;&gt;"",""&amp;DATA_KO!I8,"")</f>
        <v/>
      </c>
      <c r="J13" s="304">
        <f>IF(A13&lt;&gt;"","➔ Inspect Item","")</f>
        <v/>
      </c>
      <c r="K13" s="267" t="inlineStr">
        <is>
          <t>Queued for Human Architect Level 5 evaluation. No premature acceptance.</t>
        </is>
      </c>
    </row>
    <row r="14">
      <c r="A14" s="271">
        <f>IF(DATA_KO!A9&lt;&gt;"","Q-"&amp;TEXT(8,"000"),"")</f>
        <v/>
      </c>
      <c r="B14" s="264">
        <f>IF(DATA_KO!A9&lt;&gt;"",""&amp;DATA_KO!A9,"")</f>
        <v/>
      </c>
      <c r="C14" s="271">
        <f>IF(A14&lt;&gt;"",""&amp;DATA_KO!H9&amp;"_KO","")</f>
        <v/>
      </c>
      <c r="D14" s="264">
        <f>IF(A14&lt;&gt;"","Candidate: "&amp;DATA_KO!B9,"")</f>
        <v/>
      </c>
      <c r="E14" s="271">
        <f>IF(A14&lt;&gt;"","EO: "&amp;DATA_KO!Q9&amp;", IO: "&amp;DATA_KO!R9,"")</f>
        <v/>
      </c>
      <c r="F14" s="271">
        <f>IF(A14&lt;&gt;"",""&amp;DATA_KO!C9,"")</f>
        <v/>
      </c>
      <c r="G14" s="302">
        <f>IF(A14&lt;&gt;"",DATA_KO!G9,"")</f>
        <v/>
      </c>
      <c r="H14" s="303">
        <f>IF(A14&lt;&gt;"",""&amp;DATA_KO!H9,"")</f>
        <v/>
      </c>
      <c r="I14" s="271">
        <f>IF(A14&lt;&gt;"",""&amp;DATA_KO!I9,"")</f>
        <v/>
      </c>
      <c r="J14" s="304">
        <f>IF(A14&lt;&gt;"","➔ Inspect Item","")</f>
        <v/>
      </c>
      <c r="K14" s="267" t="inlineStr">
        <is>
          <t>Queued for Human Architect Level 5 evaluation. No premature acceptance.</t>
        </is>
      </c>
    </row>
    <row r="15">
      <c r="A15" s="271">
        <f>IF(DATA_KO!A10&lt;&gt;"","Q-"&amp;TEXT(9,"000"),"")</f>
        <v/>
      </c>
      <c r="B15" s="264">
        <f>IF(DATA_KO!A10&lt;&gt;"",""&amp;DATA_KO!A10,"")</f>
        <v/>
      </c>
      <c r="C15" s="271">
        <f>IF(A15&lt;&gt;"",""&amp;DATA_KO!H10&amp;"_KO","")</f>
        <v/>
      </c>
      <c r="D15" s="264">
        <f>IF(A15&lt;&gt;"","Candidate: "&amp;DATA_KO!B10,"")</f>
        <v/>
      </c>
      <c r="E15" s="271">
        <f>IF(A15&lt;&gt;"","EO: "&amp;DATA_KO!Q10&amp;", IO: "&amp;DATA_KO!R10,"")</f>
        <v/>
      </c>
      <c r="F15" s="271">
        <f>IF(A15&lt;&gt;"",""&amp;DATA_KO!C10,"")</f>
        <v/>
      </c>
      <c r="G15" s="302">
        <f>IF(A15&lt;&gt;"",DATA_KO!G10,"")</f>
        <v/>
      </c>
      <c r="H15" s="303">
        <f>IF(A15&lt;&gt;"",""&amp;DATA_KO!H10,"")</f>
        <v/>
      </c>
      <c r="I15" s="271">
        <f>IF(A15&lt;&gt;"",""&amp;DATA_KO!I10,"")</f>
        <v/>
      </c>
      <c r="J15" s="304">
        <f>IF(A15&lt;&gt;"","➔ Inspect Item","")</f>
        <v/>
      </c>
      <c r="K15" s="267" t="inlineStr">
        <is>
          <t>Queued for Human Architect Level 5 evaluation. No premature acceptance.</t>
        </is>
      </c>
    </row>
    <row r="16">
      <c r="A16" s="271">
        <f>IF(DATA_KO!A11&lt;&gt;"","Q-"&amp;TEXT(10,"000"),"")</f>
        <v/>
      </c>
      <c r="B16" s="264">
        <f>IF(DATA_KO!A11&lt;&gt;"",""&amp;DATA_KO!A11,"")</f>
        <v/>
      </c>
      <c r="C16" s="271">
        <f>IF(A16&lt;&gt;"",""&amp;DATA_KO!H11&amp;"_KO","")</f>
        <v/>
      </c>
      <c r="D16" s="264">
        <f>IF(A16&lt;&gt;"","Candidate: "&amp;DATA_KO!B11,"")</f>
        <v/>
      </c>
      <c r="E16" s="271">
        <f>IF(A16&lt;&gt;"","EO: "&amp;DATA_KO!Q11&amp;", IO: "&amp;DATA_KO!R11,"")</f>
        <v/>
      </c>
      <c r="F16" s="271">
        <f>IF(A16&lt;&gt;"",""&amp;DATA_KO!C11,"")</f>
        <v/>
      </c>
      <c r="G16" s="302">
        <f>IF(A16&lt;&gt;"",DATA_KO!G11,"")</f>
        <v/>
      </c>
      <c r="H16" s="303">
        <f>IF(A16&lt;&gt;"",""&amp;DATA_KO!H11,"")</f>
        <v/>
      </c>
      <c r="I16" s="271">
        <f>IF(A16&lt;&gt;"",""&amp;DATA_KO!I11,"")</f>
        <v/>
      </c>
      <c r="J16" s="304">
        <f>IF(A16&lt;&gt;"","➔ Inspect Item","")</f>
        <v/>
      </c>
      <c r="K16" s="267" t="inlineStr">
        <is>
          <t>Queued for Human Architect Level 5 evaluation. No premature acceptance.</t>
        </is>
      </c>
    </row>
    <row r="17">
      <c r="A17" s="271">
        <f>IF(DATA_KO!A12&lt;&gt;"","Q-"&amp;TEXT(11,"000"),"")</f>
        <v/>
      </c>
      <c r="B17" s="264">
        <f>IF(DATA_KO!A12&lt;&gt;"",""&amp;DATA_KO!A12,"")</f>
        <v/>
      </c>
      <c r="C17" s="271">
        <f>IF(A17&lt;&gt;"",""&amp;DATA_KO!H12&amp;"_KO","")</f>
        <v/>
      </c>
      <c r="D17" s="264">
        <f>IF(A17&lt;&gt;"","Candidate: "&amp;DATA_KO!B12,"")</f>
        <v/>
      </c>
      <c r="E17" s="271">
        <f>IF(A17&lt;&gt;"","EO: "&amp;DATA_KO!Q12&amp;", IO: "&amp;DATA_KO!R12,"")</f>
        <v/>
      </c>
      <c r="F17" s="271">
        <f>IF(A17&lt;&gt;"",""&amp;DATA_KO!C12,"")</f>
        <v/>
      </c>
      <c r="G17" s="302">
        <f>IF(A17&lt;&gt;"",DATA_KO!G12,"")</f>
        <v/>
      </c>
      <c r="H17" s="303">
        <f>IF(A17&lt;&gt;"",""&amp;DATA_KO!H12,"")</f>
        <v/>
      </c>
      <c r="I17" s="271">
        <f>IF(A17&lt;&gt;"",""&amp;DATA_KO!I12,"")</f>
        <v/>
      </c>
      <c r="J17" s="304">
        <f>IF(A17&lt;&gt;"","➔ Inspect Item","")</f>
        <v/>
      </c>
      <c r="K17" s="267" t="inlineStr">
        <is>
          <t>Queued for Human Architect Level 5 evaluation. No premature acceptance.</t>
        </is>
      </c>
    </row>
    <row r="18">
      <c r="A18" s="271">
        <f>IF(DATA_KO!A13&lt;&gt;"","Q-"&amp;TEXT(12,"000"),"")</f>
        <v/>
      </c>
      <c r="B18" s="264">
        <f>IF(DATA_KO!A13&lt;&gt;"",""&amp;DATA_KO!A13,"")</f>
        <v/>
      </c>
      <c r="C18" s="271">
        <f>IF(A18&lt;&gt;"",""&amp;DATA_KO!H13&amp;"_KO","")</f>
        <v/>
      </c>
      <c r="D18" s="264">
        <f>IF(A18&lt;&gt;"","Candidate: "&amp;DATA_KO!B13,"")</f>
        <v/>
      </c>
      <c r="E18" s="271">
        <f>IF(A18&lt;&gt;"","EO: "&amp;DATA_KO!Q13&amp;", IO: "&amp;DATA_KO!R13,"")</f>
        <v/>
      </c>
      <c r="F18" s="271">
        <f>IF(A18&lt;&gt;"",""&amp;DATA_KO!C13,"")</f>
        <v/>
      </c>
      <c r="G18" s="302">
        <f>IF(A18&lt;&gt;"",DATA_KO!G13,"")</f>
        <v/>
      </c>
      <c r="H18" s="303">
        <f>IF(A18&lt;&gt;"",""&amp;DATA_KO!H13,"")</f>
        <v/>
      </c>
      <c r="I18" s="271">
        <f>IF(A18&lt;&gt;"",""&amp;DATA_KO!I13,"")</f>
        <v/>
      </c>
      <c r="J18" s="304">
        <f>IF(A18&lt;&gt;"","➔ Inspect Item","")</f>
        <v/>
      </c>
      <c r="K18" s="267" t="inlineStr">
        <is>
          <t>Queued for Human Architect Level 5 evaluation. No premature acceptance.</t>
        </is>
      </c>
    </row>
    <row r="19">
      <c r="A19" s="271">
        <f>IF(DATA_KO!A14&lt;&gt;"","Q-"&amp;TEXT(13,"000"),"")</f>
        <v/>
      </c>
      <c r="B19" s="264">
        <f>IF(DATA_KO!A14&lt;&gt;"",""&amp;DATA_KO!A14,"")</f>
        <v/>
      </c>
      <c r="C19" s="271">
        <f>IF(A19&lt;&gt;"",""&amp;DATA_KO!H14&amp;"_KO","")</f>
        <v/>
      </c>
      <c r="D19" s="264">
        <f>IF(A19&lt;&gt;"","Candidate: "&amp;DATA_KO!B14,"")</f>
        <v/>
      </c>
      <c r="E19" s="271">
        <f>IF(A19&lt;&gt;"","EO: "&amp;DATA_KO!Q14&amp;", IO: "&amp;DATA_KO!R14,"")</f>
        <v/>
      </c>
      <c r="F19" s="271">
        <f>IF(A19&lt;&gt;"",""&amp;DATA_KO!C14,"")</f>
        <v/>
      </c>
      <c r="G19" s="302">
        <f>IF(A19&lt;&gt;"",DATA_KO!G14,"")</f>
        <v/>
      </c>
      <c r="H19" s="303">
        <f>IF(A19&lt;&gt;"",""&amp;DATA_KO!H14,"")</f>
        <v/>
      </c>
      <c r="I19" s="271">
        <f>IF(A19&lt;&gt;"",""&amp;DATA_KO!I14,"")</f>
        <v/>
      </c>
      <c r="J19" s="304">
        <f>IF(A19&lt;&gt;"","➔ Inspect Item","")</f>
        <v/>
      </c>
      <c r="K19" s="267" t="inlineStr">
        <is>
          <t>Queued for Human Architect Level 5 evaluation. No premature acceptance.</t>
        </is>
      </c>
    </row>
    <row r="20">
      <c r="A20" s="271">
        <f>IF(DATA_KO!A15&lt;&gt;"","Q-"&amp;TEXT(14,"000"),"")</f>
        <v/>
      </c>
      <c r="B20" s="264">
        <f>IF(DATA_KO!A15&lt;&gt;"",""&amp;DATA_KO!A15,"")</f>
        <v/>
      </c>
      <c r="C20" s="271">
        <f>IF(A20&lt;&gt;"",""&amp;DATA_KO!H15&amp;"_KO","")</f>
        <v/>
      </c>
      <c r="D20" s="264">
        <f>IF(A20&lt;&gt;"","Candidate: "&amp;DATA_KO!B15,"")</f>
        <v/>
      </c>
      <c r="E20" s="271">
        <f>IF(A20&lt;&gt;"","EO: "&amp;DATA_KO!Q15&amp;", IO: "&amp;DATA_KO!R15,"")</f>
        <v/>
      </c>
      <c r="F20" s="271">
        <f>IF(A20&lt;&gt;"",""&amp;DATA_KO!C15,"")</f>
        <v/>
      </c>
      <c r="G20" s="302">
        <f>IF(A20&lt;&gt;"",DATA_KO!G15,"")</f>
        <v/>
      </c>
      <c r="H20" s="303">
        <f>IF(A20&lt;&gt;"",""&amp;DATA_KO!H15,"")</f>
        <v/>
      </c>
      <c r="I20" s="271">
        <f>IF(A20&lt;&gt;"",""&amp;DATA_KO!I15,"")</f>
        <v/>
      </c>
      <c r="J20" s="304">
        <f>IF(A20&lt;&gt;"","➔ Inspect Item","")</f>
        <v/>
      </c>
      <c r="K20" s="267" t="inlineStr">
        <is>
          <t>Queued for Human Architect Level 5 evaluation. No premature acceptance.</t>
        </is>
      </c>
    </row>
    <row r="21" ht="15.75" customHeight="1" s="132">
      <c r="A21" s="271">
        <f>IF(DATA_KO!A16&lt;&gt;"","Q-"&amp;TEXT(15,"000"),"")</f>
        <v/>
      </c>
      <c r="B21" s="264">
        <f>IF(DATA_KO!A16&lt;&gt;"",""&amp;DATA_KO!A16,"")</f>
        <v/>
      </c>
      <c r="C21" s="271">
        <f>IF(A21&lt;&gt;"",""&amp;DATA_KO!H16&amp;"_KO","")</f>
        <v/>
      </c>
      <c r="D21" s="264">
        <f>IF(A21&lt;&gt;"","Candidate: "&amp;DATA_KO!B16,"")</f>
        <v/>
      </c>
      <c r="E21" s="271">
        <f>IF(A21&lt;&gt;"","EO: "&amp;DATA_KO!Q16&amp;", IO: "&amp;DATA_KO!R16,"")</f>
        <v/>
      </c>
      <c r="F21" s="271">
        <f>IF(A21&lt;&gt;"",""&amp;DATA_KO!C16,"")</f>
        <v/>
      </c>
      <c r="G21" s="302">
        <f>IF(A21&lt;&gt;"",DATA_KO!G16,"")</f>
        <v/>
      </c>
      <c r="H21" s="303">
        <f>IF(A21&lt;&gt;"",""&amp;DATA_KO!H16,"")</f>
        <v/>
      </c>
      <c r="I21" s="271">
        <f>IF(A21&lt;&gt;"",""&amp;DATA_KO!I16,"")</f>
        <v/>
      </c>
      <c r="J21" s="304">
        <f>IF(A21&lt;&gt;"","➔ Inspect Item","")</f>
        <v/>
      </c>
      <c r="K21" s="267" t="inlineStr">
        <is>
          <t>Queued for Human Architect Level 5 evaluation. No premature acceptance.</t>
        </is>
      </c>
    </row>
    <row r="22" ht="15.75" customHeight="1" s="132">
      <c r="A22" s="271">
        <f>IF(DATA_KO!A17&lt;&gt;"","Q-"&amp;TEXT(16,"000"),"")</f>
        <v/>
      </c>
      <c r="B22" s="264">
        <f>IF(DATA_KO!A17&lt;&gt;"",""&amp;DATA_KO!A17,"")</f>
        <v/>
      </c>
      <c r="C22" s="271">
        <f>IF(A22&lt;&gt;"",""&amp;DATA_KO!H17&amp;"_KO","")</f>
        <v/>
      </c>
      <c r="D22" s="264">
        <f>IF(A22&lt;&gt;"","Candidate: "&amp;DATA_KO!B17,"")</f>
        <v/>
      </c>
      <c r="E22" s="271">
        <f>IF(A22&lt;&gt;"","EO: "&amp;DATA_KO!Q17&amp;", IO: "&amp;DATA_KO!R17,"")</f>
        <v/>
      </c>
      <c r="F22" s="271">
        <f>IF(A22&lt;&gt;"",""&amp;DATA_KO!C17,"")</f>
        <v/>
      </c>
      <c r="G22" s="302">
        <f>IF(A22&lt;&gt;"",DATA_KO!G17,"")</f>
        <v/>
      </c>
      <c r="H22" s="303">
        <f>IF(A22&lt;&gt;"",""&amp;DATA_KO!H17,"")</f>
        <v/>
      </c>
      <c r="I22" s="271">
        <f>IF(A22&lt;&gt;"",""&amp;DATA_KO!I17,"")</f>
        <v/>
      </c>
      <c r="J22" s="304">
        <f>IF(A22&lt;&gt;"","➔ Inspect Item","")</f>
        <v/>
      </c>
      <c r="K22" s="267" t="inlineStr">
        <is>
          <t>Queued for Human Architect Level 5 evaluation. No premature acceptance.</t>
        </is>
      </c>
    </row>
    <row r="23" ht="15.75" customHeight="1" s="132">
      <c r="A23" s="271">
        <f>IF(DATA_KO!A18&lt;&gt;"","Q-"&amp;TEXT(17,"000"),"")</f>
        <v/>
      </c>
      <c r="B23" s="264">
        <f>IF(DATA_KO!A18&lt;&gt;"",""&amp;DATA_KO!A18,"")</f>
        <v/>
      </c>
      <c r="C23" s="271">
        <f>IF(A23&lt;&gt;"",""&amp;DATA_KO!H18&amp;"_KO","")</f>
        <v/>
      </c>
      <c r="D23" s="264">
        <f>IF(A23&lt;&gt;"","Candidate: "&amp;DATA_KO!B18,"")</f>
        <v/>
      </c>
      <c r="E23" s="271">
        <f>IF(A23&lt;&gt;"","EO: "&amp;DATA_KO!Q18&amp;", IO: "&amp;DATA_KO!R18,"")</f>
        <v/>
      </c>
      <c r="F23" s="271">
        <f>IF(A23&lt;&gt;"",""&amp;DATA_KO!C18,"")</f>
        <v/>
      </c>
      <c r="G23" s="302">
        <f>IF(A23&lt;&gt;"",DATA_KO!G18,"")</f>
        <v/>
      </c>
      <c r="H23" s="303">
        <f>IF(A23&lt;&gt;"",""&amp;DATA_KO!H18,"")</f>
        <v/>
      </c>
      <c r="I23" s="271">
        <f>IF(A23&lt;&gt;"",""&amp;DATA_KO!I18,"")</f>
        <v/>
      </c>
      <c r="J23" s="304">
        <f>IF(A23&lt;&gt;"","➔ Inspect Item","")</f>
        <v/>
      </c>
      <c r="K23" s="267" t="inlineStr">
        <is>
          <t>Queued for Human Architect Level 5 evaluation. No premature acceptance.</t>
        </is>
      </c>
    </row>
    <row r="24" ht="15.75" customHeight="1" s="132">
      <c r="A24" s="271">
        <f>IF(DATA_KO!A19&lt;&gt;"","Q-"&amp;TEXT(18,"000"),"")</f>
        <v/>
      </c>
      <c r="B24" s="264">
        <f>IF(DATA_KO!A19&lt;&gt;"",""&amp;DATA_KO!A19,"")</f>
        <v/>
      </c>
      <c r="C24" s="271">
        <f>IF(A24&lt;&gt;"",""&amp;DATA_KO!H19&amp;"_KO","")</f>
        <v/>
      </c>
      <c r="D24" s="264">
        <f>IF(A24&lt;&gt;"","Candidate: "&amp;DATA_KO!B19,"")</f>
        <v/>
      </c>
      <c r="E24" s="271">
        <f>IF(A24&lt;&gt;"","EO: "&amp;DATA_KO!Q19&amp;", IO: "&amp;DATA_KO!R19,"")</f>
        <v/>
      </c>
      <c r="F24" s="271">
        <f>IF(A24&lt;&gt;"",""&amp;DATA_KO!C19,"")</f>
        <v/>
      </c>
      <c r="G24" s="302">
        <f>IF(A24&lt;&gt;"",DATA_KO!G19,"")</f>
        <v/>
      </c>
      <c r="H24" s="303">
        <f>IF(A24&lt;&gt;"",""&amp;DATA_KO!H19,"")</f>
        <v/>
      </c>
      <c r="I24" s="271">
        <f>IF(A24&lt;&gt;"",""&amp;DATA_KO!I19,"")</f>
        <v/>
      </c>
      <c r="J24" s="304">
        <f>IF(A24&lt;&gt;"","➔ Inspect Item","")</f>
        <v/>
      </c>
      <c r="K24" s="267" t="inlineStr">
        <is>
          <t>Queued for Human Architect Level 5 evaluation. No premature acceptance.</t>
        </is>
      </c>
    </row>
    <row r="25" ht="15.75" customHeight="1" s="132">
      <c r="A25" s="271">
        <f>IF(DATA_KO!A20&lt;&gt;"","Q-"&amp;TEXT(19,"000"),"")</f>
        <v/>
      </c>
      <c r="B25" s="264">
        <f>IF(DATA_KO!A20&lt;&gt;"",""&amp;DATA_KO!A20,"")</f>
        <v/>
      </c>
      <c r="C25" s="271">
        <f>IF(A25&lt;&gt;"",""&amp;DATA_KO!H20&amp;"_KO","")</f>
        <v/>
      </c>
      <c r="D25" s="264">
        <f>IF(A25&lt;&gt;"","Candidate: "&amp;DATA_KO!B20,"")</f>
        <v/>
      </c>
      <c r="E25" s="271">
        <f>IF(A25&lt;&gt;"","EO: "&amp;DATA_KO!Q20&amp;", IO: "&amp;DATA_KO!R20,"")</f>
        <v/>
      </c>
      <c r="F25" s="271">
        <f>IF(A25&lt;&gt;"",""&amp;DATA_KO!C20,"")</f>
        <v/>
      </c>
      <c r="G25" s="302">
        <f>IF(A25&lt;&gt;"",DATA_KO!G20,"")</f>
        <v/>
      </c>
      <c r="H25" s="303">
        <f>IF(A25&lt;&gt;"",""&amp;DATA_KO!H20,"")</f>
        <v/>
      </c>
      <c r="I25" s="271">
        <f>IF(A25&lt;&gt;"",""&amp;DATA_KO!I20,"")</f>
        <v/>
      </c>
      <c r="J25" s="304">
        <f>IF(A25&lt;&gt;"","➔ Inspect Item","")</f>
        <v/>
      </c>
      <c r="K25" s="267" t="inlineStr">
        <is>
          <t>Queued for Human Architect Level 5 evaluation. No premature acceptance.</t>
        </is>
      </c>
    </row>
    <row r="26" ht="15.75" customHeight="1" s="132">
      <c r="A26" s="271">
        <f>IF(DATA_KO!A21&lt;&gt;"","Q-"&amp;TEXT(20,"000"),"")</f>
        <v/>
      </c>
      <c r="B26" s="264">
        <f>IF(DATA_KO!A21&lt;&gt;"",""&amp;DATA_KO!A21,"")</f>
        <v/>
      </c>
      <c r="C26" s="271">
        <f>IF(A26&lt;&gt;"",""&amp;DATA_KO!H21&amp;"_KO","")</f>
        <v/>
      </c>
      <c r="D26" s="264">
        <f>IF(A26&lt;&gt;"","Candidate: "&amp;DATA_KO!B21,"")</f>
        <v/>
      </c>
      <c r="E26" s="271">
        <f>IF(A26&lt;&gt;"","EO: "&amp;DATA_KO!Q21&amp;", IO: "&amp;DATA_KO!R21,"")</f>
        <v/>
      </c>
      <c r="F26" s="271">
        <f>IF(A26&lt;&gt;"",""&amp;DATA_KO!C21,"")</f>
        <v/>
      </c>
      <c r="G26" s="302">
        <f>IF(A26&lt;&gt;"",DATA_KO!G21,"")</f>
        <v/>
      </c>
      <c r="H26" s="303">
        <f>IF(A26&lt;&gt;"",""&amp;DATA_KO!H21,"")</f>
        <v/>
      </c>
      <c r="I26" s="271">
        <f>IF(A26&lt;&gt;"",""&amp;DATA_KO!I21,"")</f>
        <v/>
      </c>
      <c r="J26" s="304">
        <f>IF(A26&lt;&gt;"","➔ Inspect Item","")</f>
        <v/>
      </c>
      <c r="K26" s="267" t="inlineStr">
        <is>
          <t>Queued for Human Architect Level 5 evaluation. No premature acceptance.</t>
        </is>
      </c>
    </row>
    <row r="27" ht="15.75" customHeight="1" s="132">
      <c r="A27" s="271">
        <f>IF(DATA_KO!A22&lt;&gt;"","Q-"&amp;TEXT(21,"000"),"")</f>
        <v/>
      </c>
      <c r="B27" s="264">
        <f>IF(DATA_KO!A22&lt;&gt;"",""&amp;DATA_KO!A22,"")</f>
        <v/>
      </c>
      <c r="C27" s="271">
        <f>IF(A27&lt;&gt;"",""&amp;DATA_KO!H22&amp;"_KO","")</f>
        <v/>
      </c>
      <c r="D27" s="264">
        <f>IF(A27&lt;&gt;"","Candidate: "&amp;DATA_KO!B22,"")</f>
        <v/>
      </c>
      <c r="E27" s="271">
        <f>IF(A27&lt;&gt;"","EO: "&amp;DATA_KO!Q22&amp;", IO: "&amp;DATA_KO!R22,"")</f>
        <v/>
      </c>
      <c r="F27" s="271">
        <f>IF(A27&lt;&gt;"",""&amp;DATA_KO!C22,"")</f>
        <v/>
      </c>
      <c r="G27" s="302">
        <f>IF(A27&lt;&gt;"",DATA_KO!G22,"")</f>
        <v/>
      </c>
      <c r="H27" s="303">
        <f>IF(A27&lt;&gt;"",""&amp;DATA_KO!H22,"")</f>
        <v/>
      </c>
      <c r="I27" s="271">
        <f>IF(A27&lt;&gt;"",""&amp;DATA_KO!I22,"")</f>
        <v/>
      </c>
      <c r="J27" s="304">
        <f>IF(A27&lt;&gt;"","➔ Inspect Item","")</f>
        <v/>
      </c>
      <c r="K27" s="267" t="inlineStr">
        <is>
          <t>Queued for Human Architect Level 5 evaluation. No premature acceptance.</t>
        </is>
      </c>
    </row>
    <row r="28" ht="15.75" customHeight="1" s="132">
      <c r="A28" s="271">
        <f>IF(DATA_KO!A23&lt;&gt;"","Q-"&amp;TEXT(22,"000"),"")</f>
        <v/>
      </c>
      <c r="B28" s="264">
        <f>IF(DATA_KO!A23&lt;&gt;"",""&amp;DATA_KO!A23,"")</f>
        <v/>
      </c>
      <c r="C28" s="271">
        <f>IF(A28&lt;&gt;"",""&amp;DATA_KO!H23&amp;"_KO","")</f>
        <v/>
      </c>
      <c r="D28" s="264">
        <f>IF(A28&lt;&gt;"","Candidate: "&amp;DATA_KO!B23,"")</f>
        <v/>
      </c>
      <c r="E28" s="271">
        <f>IF(A28&lt;&gt;"","EO: "&amp;DATA_KO!Q23&amp;", IO: "&amp;DATA_KO!R23,"")</f>
        <v/>
      </c>
      <c r="F28" s="271">
        <f>IF(A28&lt;&gt;"",""&amp;DATA_KO!C23,"")</f>
        <v/>
      </c>
      <c r="G28" s="302">
        <f>IF(A28&lt;&gt;"",DATA_KO!G23,"")</f>
        <v/>
      </c>
      <c r="H28" s="303">
        <f>IF(A28&lt;&gt;"",""&amp;DATA_KO!H23,"")</f>
        <v/>
      </c>
      <c r="I28" s="271">
        <f>IF(A28&lt;&gt;"",""&amp;DATA_KO!I23,"")</f>
        <v/>
      </c>
      <c r="J28" s="304">
        <f>IF(A28&lt;&gt;"","➔ Inspect Item","")</f>
        <v/>
      </c>
      <c r="K28" s="267" t="inlineStr">
        <is>
          <t>Queued for Human Architect Level 5 evaluation. No premature acceptance.</t>
        </is>
      </c>
    </row>
    <row r="29" ht="15.75" customHeight="1" s="132">
      <c r="A29" s="271">
        <f>IF(DATA_KO!A24&lt;&gt;"","Q-"&amp;TEXT(23,"000"),"")</f>
        <v/>
      </c>
      <c r="B29" s="264">
        <f>IF(DATA_KO!A24&lt;&gt;"",""&amp;DATA_KO!A24,"")</f>
        <v/>
      </c>
      <c r="C29" s="271">
        <f>IF(A29&lt;&gt;"",""&amp;DATA_KO!H24&amp;"_KO","")</f>
        <v/>
      </c>
      <c r="D29" s="264">
        <f>IF(A29&lt;&gt;"","Candidate: "&amp;DATA_KO!B24,"")</f>
        <v/>
      </c>
      <c r="E29" s="271">
        <f>IF(A29&lt;&gt;"","EO: "&amp;DATA_KO!Q24&amp;", IO: "&amp;DATA_KO!R24,"")</f>
        <v/>
      </c>
      <c r="F29" s="271">
        <f>IF(A29&lt;&gt;"",""&amp;DATA_KO!C24,"")</f>
        <v/>
      </c>
      <c r="G29" s="302">
        <f>IF(A29&lt;&gt;"",DATA_KO!G24,"")</f>
        <v/>
      </c>
      <c r="H29" s="303">
        <f>IF(A29&lt;&gt;"",""&amp;DATA_KO!H24,"")</f>
        <v/>
      </c>
      <c r="I29" s="271">
        <f>IF(A29&lt;&gt;"",""&amp;DATA_KO!I24,"")</f>
        <v/>
      </c>
      <c r="J29" s="304">
        <f>IF(A29&lt;&gt;"","➔ Inspect Item","")</f>
        <v/>
      </c>
      <c r="K29" s="267" t="inlineStr">
        <is>
          <t>Queued for Human Architect Level 5 evaluation. No premature acceptance.</t>
        </is>
      </c>
    </row>
    <row r="30" ht="15.75" customHeight="1" s="132">
      <c r="A30" s="273">
        <f>IF(DATA_KO!A25&lt;&gt;"","Q-"&amp;TEXT(24,"000"),"")</f>
        <v/>
      </c>
      <c r="B30" s="273">
        <f>IF(DATA_KO!A25&lt;&gt;"",""&amp;DATA_KO!A25,"")</f>
        <v/>
      </c>
      <c r="C30" s="273">
        <f>IF(A30&lt;&gt;"",""&amp;DATA_KO!H25&amp;"_KO","")</f>
        <v/>
      </c>
      <c r="D30" s="273">
        <f>IF(A30&lt;&gt;"","Candidate: "&amp;DATA_KO!B25,"")</f>
        <v/>
      </c>
      <c r="E30" s="273">
        <f>IF(A30&lt;&gt;"","EO: "&amp;DATA_KO!Q25&amp;", IO: "&amp;DATA_KO!R25,"")</f>
        <v/>
      </c>
      <c r="F30" s="273">
        <f>IF(A30&lt;&gt;"",""&amp;DATA_KO!C25,"")</f>
        <v/>
      </c>
      <c r="G30" s="274">
        <f>IF(A30&lt;&gt;"",DATA_KO!G25,"")</f>
        <v/>
      </c>
      <c r="H30" s="273">
        <f>IF(A30&lt;&gt;"",""&amp;DATA_KO!H25,"")</f>
        <v/>
      </c>
      <c r="I30" s="273">
        <f>IF(A30&lt;&gt;"",""&amp;DATA_KO!I25,"")</f>
        <v/>
      </c>
      <c r="J30" s="275">
        <f>IF(A30&lt;&gt;"","➔ Inspect Item","")</f>
        <v/>
      </c>
    </row>
    <row r="31" ht="15.75" customHeight="1" s="132">
      <c r="A31" s="273">
        <f>IF(DATA_KO!A26&lt;&gt;"","Q-"&amp;TEXT(25,"000"),"")</f>
        <v/>
      </c>
      <c r="B31" s="273">
        <f>IF(DATA_KO!A26&lt;&gt;"",""&amp;DATA_KO!A26,"")</f>
        <v/>
      </c>
      <c r="C31" s="273">
        <f>IF(A31&lt;&gt;"",""&amp;DATA_KO!H26&amp;"_KO","")</f>
        <v/>
      </c>
      <c r="D31" s="273">
        <f>IF(A31&lt;&gt;"","Candidate: "&amp;DATA_KO!B26,"")</f>
        <v/>
      </c>
      <c r="E31" s="273">
        <f>IF(A31&lt;&gt;"","EO: "&amp;DATA_KO!Q26&amp;", IO: "&amp;DATA_KO!R26,"")</f>
        <v/>
      </c>
      <c r="F31" s="273">
        <f>IF(A31&lt;&gt;"",""&amp;DATA_KO!C26,"")</f>
        <v/>
      </c>
      <c r="G31" s="274">
        <f>IF(A31&lt;&gt;"",DATA_KO!G26,"")</f>
        <v/>
      </c>
      <c r="H31" s="273">
        <f>IF(A31&lt;&gt;"",""&amp;DATA_KO!H26,"")</f>
        <v/>
      </c>
      <c r="I31" s="273">
        <f>IF(A31&lt;&gt;"",""&amp;DATA_KO!I26,"")</f>
        <v/>
      </c>
      <c r="J31" s="275">
        <f>IF(A31&lt;&gt;"","➔ Inspect Item","")</f>
        <v/>
      </c>
    </row>
    <row r="32" ht="15.75" customHeight="1" s="132">
      <c r="A32" s="273">
        <f>IF(DATA_KO!A27&lt;&gt;"","Q-"&amp;TEXT(26,"000"),"")</f>
        <v/>
      </c>
      <c r="B32" s="273">
        <f>IF(DATA_KO!A27&lt;&gt;"",""&amp;DATA_KO!A27,"")</f>
        <v/>
      </c>
      <c r="C32" s="273">
        <f>IF(A32&lt;&gt;"",""&amp;DATA_KO!H27&amp;"_KO","")</f>
        <v/>
      </c>
      <c r="D32" s="273">
        <f>IF(A32&lt;&gt;"","Candidate: "&amp;DATA_KO!B27,"")</f>
        <v/>
      </c>
      <c r="E32" s="273">
        <f>IF(A32&lt;&gt;"","EO: "&amp;DATA_KO!Q27&amp;", IO: "&amp;DATA_KO!R27,"")</f>
        <v/>
      </c>
      <c r="F32" s="273">
        <f>IF(A32&lt;&gt;"",""&amp;DATA_KO!C27,"")</f>
        <v/>
      </c>
      <c r="G32" s="274">
        <f>IF(A32&lt;&gt;"",DATA_KO!G27,"")</f>
        <v/>
      </c>
      <c r="H32" s="273">
        <f>IF(A32&lt;&gt;"",""&amp;DATA_KO!H27,"")</f>
        <v/>
      </c>
      <c r="I32" s="273">
        <f>IF(A32&lt;&gt;"",""&amp;DATA_KO!I27,"")</f>
        <v/>
      </c>
      <c r="J32" s="275">
        <f>IF(A32&lt;&gt;"","➔ Inspect Item","")</f>
        <v/>
      </c>
    </row>
    <row r="33" ht="15.75" customHeight="1" s="132">
      <c r="A33" s="273">
        <f>IF(DATA_KO!A28&lt;&gt;"","Q-"&amp;TEXT(27,"000"),"")</f>
        <v/>
      </c>
      <c r="B33" s="273">
        <f>IF(DATA_KO!A28&lt;&gt;"",""&amp;DATA_KO!A28,"")</f>
        <v/>
      </c>
      <c r="C33" s="273">
        <f>IF(A33&lt;&gt;"",""&amp;DATA_KO!H28&amp;"_KO","")</f>
        <v/>
      </c>
      <c r="D33" s="273">
        <f>IF(A33&lt;&gt;"","Candidate: "&amp;DATA_KO!B28,"")</f>
        <v/>
      </c>
      <c r="E33" s="273">
        <f>IF(A33&lt;&gt;"","EO: "&amp;DATA_KO!Q28&amp;", IO: "&amp;DATA_KO!R28,"")</f>
        <v/>
      </c>
      <c r="F33" s="273">
        <f>IF(A33&lt;&gt;"",""&amp;DATA_KO!C28,"")</f>
        <v/>
      </c>
      <c r="G33" s="274">
        <f>IF(A33&lt;&gt;"",DATA_KO!G28,"")</f>
        <v/>
      </c>
      <c r="H33" s="273">
        <f>IF(A33&lt;&gt;"",""&amp;DATA_KO!H28,"")</f>
        <v/>
      </c>
      <c r="I33" s="273">
        <f>IF(A33&lt;&gt;"",""&amp;DATA_KO!I28,"")</f>
        <v/>
      </c>
      <c r="J33" s="275">
        <f>IF(A33&lt;&gt;"","➔ Inspect Item","")</f>
        <v/>
      </c>
    </row>
    <row r="34" ht="15.75" customHeight="1" s="132">
      <c r="A34" s="273">
        <f>IF(DATA_KO!A29&lt;&gt;"","Q-"&amp;TEXT(28,"000"),"")</f>
        <v/>
      </c>
      <c r="B34" s="273">
        <f>IF(DATA_KO!A29&lt;&gt;"",""&amp;DATA_KO!A29,"")</f>
        <v/>
      </c>
      <c r="C34" s="273">
        <f>IF(A34&lt;&gt;"",""&amp;DATA_KO!H29&amp;"_KO","")</f>
        <v/>
      </c>
      <c r="D34" s="273">
        <f>IF(A34&lt;&gt;"","Candidate: "&amp;DATA_KO!B29,"")</f>
        <v/>
      </c>
      <c r="E34" s="273">
        <f>IF(A34&lt;&gt;"","EO: "&amp;DATA_KO!Q29&amp;", IO: "&amp;DATA_KO!R29,"")</f>
        <v/>
      </c>
      <c r="F34" s="273">
        <f>IF(A34&lt;&gt;"",""&amp;DATA_KO!C29,"")</f>
        <v/>
      </c>
      <c r="G34" s="274">
        <f>IF(A34&lt;&gt;"",DATA_KO!G29,"")</f>
        <v/>
      </c>
      <c r="H34" s="273">
        <f>IF(A34&lt;&gt;"",""&amp;DATA_KO!H29,"")</f>
        <v/>
      </c>
      <c r="I34" s="273">
        <f>IF(A34&lt;&gt;"",""&amp;DATA_KO!I29,"")</f>
        <v/>
      </c>
      <c r="J34" s="275">
        <f>IF(A34&lt;&gt;"","➔ Inspect Item","")</f>
        <v/>
      </c>
    </row>
    <row r="35" ht="15.75" customHeight="1" s="132">
      <c r="A35" s="273">
        <f>IF(DATA_KO!A30&lt;&gt;"","Q-"&amp;TEXT(29,"000"),"")</f>
        <v/>
      </c>
      <c r="B35" s="273">
        <f>IF(DATA_KO!A30&lt;&gt;"",""&amp;DATA_KO!A30,"")</f>
        <v/>
      </c>
      <c r="C35" s="273">
        <f>IF(A35&lt;&gt;"",""&amp;DATA_KO!H30&amp;"_KO","")</f>
        <v/>
      </c>
      <c r="D35" s="273">
        <f>IF(A35&lt;&gt;"","Candidate: "&amp;DATA_KO!B30,"")</f>
        <v/>
      </c>
      <c r="E35" s="273">
        <f>IF(A35&lt;&gt;"","EO: "&amp;DATA_KO!Q30&amp;", IO: "&amp;DATA_KO!R30,"")</f>
        <v/>
      </c>
      <c r="F35" s="273">
        <f>IF(A35&lt;&gt;"",""&amp;DATA_KO!C30,"")</f>
        <v/>
      </c>
      <c r="G35" s="274">
        <f>IF(A35&lt;&gt;"",DATA_KO!G30,"")</f>
        <v/>
      </c>
      <c r="H35" s="273">
        <f>IF(A35&lt;&gt;"",""&amp;DATA_KO!H30,"")</f>
        <v/>
      </c>
      <c r="I35" s="273">
        <f>IF(A35&lt;&gt;"",""&amp;DATA_KO!I30,"")</f>
        <v/>
      </c>
      <c r="J35" s="275">
        <f>IF(A35&lt;&gt;"","➔ Inspect Item","")</f>
        <v/>
      </c>
    </row>
    <row r="36" ht="15.75" customHeight="1" s="132">
      <c r="A36" s="273">
        <f>IF(DATA_KO!A31&lt;&gt;"","Q-"&amp;TEXT(30,"000"),"")</f>
        <v/>
      </c>
      <c r="B36" s="273">
        <f>IF(DATA_KO!A31&lt;&gt;"",""&amp;DATA_KO!A31,"")</f>
        <v/>
      </c>
      <c r="C36" s="273">
        <f>IF(A36&lt;&gt;"",""&amp;DATA_KO!H31&amp;"_KO","")</f>
        <v/>
      </c>
      <c r="D36" s="273">
        <f>IF(A36&lt;&gt;"","Candidate: "&amp;DATA_KO!B31,"")</f>
        <v/>
      </c>
      <c r="E36" s="273">
        <f>IF(A36&lt;&gt;"","EO: "&amp;DATA_KO!Q31&amp;", IO: "&amp;DATA_KO!R31,"")</f>
        <v/>
      </c>
      <c r="F36" s="273">
        <f>IF(A36&lt;&gt;"",""&amp;DATA_KO!C31,"")</f>
        <v/>
      </c>
      <c r="G36" s="274">
        <f>IF(A36&lt;&gt;"",DATA_KO!G31,"")</f>
        <v/>
      </c>
      <c r="H36" s="273">
        <f>IF(A36&lt;&gt;"",""&amp;DATA_KO!H31,"")</f>
        <v/>
      </c>
      <c r="I36" s="273">
        <f>IF(A36&lt;&gt;"",""&amp;DATA_KO!I31,"")</f>
        <v/>
      </c>
      <c r="J36" s="275">
        <f>IF(A36&lt;&gt;"","➔ Inspect Item","")</f>
        <v/>
      </c>
    </row>
    <row r="37" ht="15.75" customHeight="1" s="132">
      <c r="A37" s="273">
        <f>IF(DATA_KO!A32&lt;&gt;"","Q-"&amp;TEXT(31,"000"),"")</f>
        <v/>
      </c>
      <c r="B37" s="273">
        <f>IF(DATA_KO!A32&lt;&gt;"",""&amp;DATA_KO!A32,"")</f>
        <v/>
      </c>
      <c r="C37" s="273">
        <f>IF(A37&lt;&gt;"",""&amp;DATA_KO!H32&amp;"_KO","")</f>
        <v/>
      </c>
      <c r="D37" s="273">
        <f>IF(A37&lt;&gt;"","Candidate: "&amp;DATA_KO!B32,"")</f>
        <v/>
      </c>
      <c r="E37" s="273">
        <f>IF(A37&lt;&gt;"","EO: "&amp;DATA_KO!Q32&amp;", IO: "&amp;DATA_KO!R32,"")</f>
        <v/>
      </c>
      <c r="F37" s="273">
        <f>IF(A37&lt;&gt;"",""&amp;DATA_KO!C32,"")</f>
        <v/>
      </c>
      <c r="G37" s="274">
        <f>IF(A37&lt;&gt;"",DATA_KO!G32,"")</f>
        <v/>
      </c>
      <c r="H37" s="273">
        <f>IF(A37&lt;&gt;"",""&amp;DATA_KO!H32,"")</f>
        <v/>
      </c>
      <c r="I37" s="273">
        <f>IF(A37&lt;&gt;"",""&amp;DATA_KO!I32,"")</f>
        <v/>
      </c>
      <c r="J37" s="275">
        <f>IF(A37&lt;&gt;"","➔ Inspect Item","")</f>
        <v/>
      </c>
    </row>
    <row r="38" ht="15.75" customHeight="1" s="132">
      <c r="A38" s="273">
        <f>IF(DATA_KO!A33&lt;&gt;"","Q-"&amp;TEXT(32,"000"),"")</f>
        <v/>
      </c>
      <c r="B38" s="273">
        <f>IF(DATA_KO!A33&lt;&gt;"",""&amp;DATA_KO!A33,"")</f>
        <v/>
      </c>
      <c r="C38" s="273">
        <f>IF(A38&lt;&gt;"",""&amp;DATA_KO!H33&amp;"_KO","")</f>
        <v/>
      </c>
      <c r="D38" s="273">
        <f>IF(A38&lt;&gt;"","Candidate: "&amp;DATA_KO!B33,"")</f>
        <v/>
      </c>
      <c r="E38" s="273">
        <f>IF(A38&lt;&gt;"","EO: "&amp;DATA_KO!Q33&amp;", IO: "&amp;DATA_KO!R33,"")</f>
        <v/>
      </c>
      <c r="F38" s="273">
        <f>IF(A38&lt;&gt;"",""&amp;DATA_KO!C33,"")</f>
        <v/>
      </c>
      <c r="G38" s="274">
        <f>IF(A38&lt;&gt;"",DATA_KO!G33,"")</f>
        <v/>
      </c>
      <c r="H38" s="273">
        <f>IF(A38&lt;&gt;"",""&amp;DATA_KO!H33,"")</f>
        <v/>
      </c>
      <c r="I38" s="273">
        <f>IF(A38&lt;&gt;"",""&amp;DATA_KO!I33,"")</f>
        <v/>
      </c>
      <c r="J38" s="275">
        <f>IF(A38&lt;&gt;"","➔ Inspect Item","")</f>
        <v/>
      </c>
    </row>
    <row r="39" ht="15.75" customHeight="1" s="132">
      <c r="A39" s="273">
        <f>IF(DATA_KO!A34&lt;&gt;"","Q-"&amp;TEXT(33,"000"),"")</f>
        <v/>
      </c>
      <c r="B39" s="273">
        <f>IF(DATA_KO!A34&lt;&gt;"",""&amp;DATA_KO!A34,"")</f>
        <v/>
      </c>
      <c r="C39" s="273">
        <f>IF(A39&lt;&gt;"",""&amp;DATA_KO!H34&amp;"_KO","")</f>
        <v/>
      </c>
      <c r="D39" s="273">
        <f>IF(A39&lt;&gt;"","Candidate: "&amp;DATA_KO!B34,"")</f>
        <v/>
      </c>
      <c r="E39" s="273">
        <f>IF(A39&lt;&gt;"","EO: "&amp;DATA_KO!Q34&amp;", IO: "&amp;DATA_KO!R34,"")</f>
        <v/>
      </c>
      <c r="F39" s="273">
        <f>IF(A39&lt;&gt;"",""&amp;DATA_KO!C34,"")</f>
        <v/>
      </c>
      <c r="G39" s="274">
        <f>IF(A39&lt;&gt;"",DATA_KO!G34,"")</f>
        <v/>
      </c>
      <c r="H39" s="273">
        <f>IF(A39&lt;&gt;"",""&amp;DATA_KO!H34,"")</f>
        <v/>
      </c>
      <c r="I39" s="273">
        <f>IF(A39&lt;&gt;"",""&amp;DATA_KO!I34,"")</f>
        <v/>
      </c>
      <c r="J39" s="275">
        <f>IF(A39&lt;&gt;"","➔ Inspect Item","")</f>
        <v/>
      </c>
    </row>
    <row r="40" ht="15.75" customHeight="1" s="132">
      <c r="A40" s="273">
        <f>IF(DATA_KO!A35&lt;&gt;"","Q-"&amp;TEXT(34,"000"),"")</f>
        <v/>
      </c>
      <c r="B40" s="273">
        <f>IF(DATA_KO!A35&lt;&gt;"",""&amp;DATA_KO!A35,"")</f>
        <v/>
      </c>
      <c r="C40" s="273">
        <f>IF(A40&lt;&gt;"",""&amp;DATA_KO!H35&amp;"_KO","")</f>
        <v/>
      </c>
      <c r="D40" s="273">
        <f>IF(A40&lt;&gt;"","Candidate: "&amp;DATA_KO!B35,"")</f>
        <v/>
      </c>
      <c r="E40" s="273">
        <f>IF(A40&lt;&gt;"","EO: "&amp;DATA_KO!Q35&amp;", IO: "&amp;DATA_KO!R35,"")</f>
        <v/>
      </c>
      <c r="F40" s="273">
        <f>IF(A40&lt;&gt;"",""&amp;DATA_KO!C35,"")</f>
        <v/>
      </c>
      <c r="G40" s="274">
        <f>IF(A40&lt;&gt;"",DATA_KO!G35,"")</f>
        <v/>
      </c>
      <c r="H40" s="273">
        <f>IF(A40&lt;&gt;"",""&amp;DATA_KO!H35,"")</f>
        <v/>
      </c>
      <c r="I40" s="273">
        <f>IF(A40&lt;&gt;"",""&amp;DATA_KO!I35,"")</f>
        <v/>
      </c>
      <c r="J40" s="275">
        <f>IF(A40&lt;&gt;"","➔ Inspect Item","")</f>
        <v/>
      </c>
    </row>
    <row r="41" ht="15.75" customHeight="1" s="132">
      <c r="A41" s="273">
        <f>IF(DATA_KO!A36&lt;&gt;"","Q-"&amp;TEXT(35,"000"),"")</f>
        <v/>
      </c>
      <c r="B41" s="273">
        <f>IF(DATA_KO!A36&lt;&gt;"",""&amp;DATA_KO!A36,"")</f>
        <v/>
      </c>
      <c r="C41" s="273">
        <f>IF(A41&lt;&gt;"",""&amp;DATA_KO!H36&amp;"_KO","")</f>
        <v/>
      </c>
      <c r="D41" s="273">
        <f>IF(A41&lt;&gt;"","Candidate: "&amp;DATA_KO!B36,"")</f>
        <v/>
      </c>
      <c r="E41" s="273">
        <f>IF(A41&lt;&gt;"","EO: "&amp;DATA_KO!Q36&amp;", IO: "&amp;DATA_KO!R36,"")</f>
        <v/>
      </c>
      <c r="F41" s="273">
        <f>IF(A41&lt;&gt;"",""&amp;DATA_KO!C36,"")</f>
        <v/>
      </c>
      <c r="G41" s="274">
        <f>IF(A41&lt;&gt;"",DATA_KO!G36,"")</f>
        <v/>
      </c>
      <c r="H41" s="273">
        <f>IF(A41&lt;&gt;"",""&amp;DATA_KO!H36,"")</f>
        <v/>
      </c>
      <c r="I41" s="273">
        <f>IF(A41&lt;&gt;"",""&amp;DATA_KO!I36,"")</f>
        <v/>
      </c>
      <c r="J41" s="275">
        <f>IF(A41&lt;&gt;"","➔ Inspect Item","")</f>
        <v/>
      </c>
    </row>
    <row r="42" ht="15.75" customHeight="1" s="132">
      <c r="A42" s="273">
        <f>IF(DATA_KO!A37&lt;&gt;"","Q-"&amp;TEXT(36,"000"),"")</f>
        <v/>
      </c>
      <c r="B42" s="273">
        <f>IF(DATA_KO!A37&lt;&gt;"",""&amp;DATA_KO!A37,"")</f>
        <v/>
      </c>
      <c r="C42" s="273">
        <f>IF(A42&lt;&gt;"",""&amp;DATA_KO!H37&amp;"_KO","")</f>
        <v/>
      </c>
      <c r="D42" s="273">
        <f>IF(A42&lt;&gt;"","Candidate: "&amp;DATA_KO!B37,"")</f>
        <v/>
      </c>
      <c r="E42" s="273">
        <f>IF(A42&lt;&gt;"","EO: "&amp;DATA_KO!Q37&amp;", IO: "&amp;DATA_KO!R37,"")</f>
        <v/>
      </c>
      <c r="F42" s="273">
        <f>IF(A42&lt;&gt;"",""&amp;DATA_KO!C37,"")</f>
        <v/>
      </c>
      <c r="G42" s="274">
        <f>IF(A42&lt;&gt;"",DATA_KO!G37,"")</f>
        <v/>
      </c>
      <c r="H42" s="273">
        <f>IF(A42&lt;&gt;"",""&amp;DATA_KO!H37,"")</f>
        <v/>
      </c>
      <c r="I42" s="273">
        <f>IF(A42&lt;&gt;"",""&amp;DATA_KO!I37,"")</f>
        <v/>
      </c>
      <c r="J42" s="275">
        <f>IF(A42&lt;&gt;"","➔ Inspect Item","")</f>
        <v/>
      </c>
    </row>
    <row r="43" ht="15.75" customHeight="1" s="132">
      <c r="A43" s="273">
        <f>IF(DATA_KO!A38&lt;&gt;"","Q-"&amp;TEXT(37,"000"),"")</f>
        <v/>
      </c>
      <c r="B43" s="273">
        <f>IF(DATA_KO!A38&lt;&gt;"",""&amp;DATA_KO!A38,"")</f>
        <v/>
      </c>
      <c r="C43" s="273">
        <f>IF(A43&lt;&gt;"",""&amp;DATA_KO!H38&amp;"_KO","")</f>
        <v/>
      </c>
      <c r="D43" s="273">
        <f>IF(A43&lt;&gt;"","Candidate: "&amp;DATA_KO!B38,"")</f>
        <v/>
      </c>
      <c r="E43" s="273">
        <f>IF(A43&lt;&gt;"","EO: "&amp;DATA_KO!Q38&amp;", IO: "&amp;DATA_KO!R38,"")</f>
        <v/>
      </c>
      <c r="F43" s="273">
        <f>IF(A43&lt;&gt;"",""&amp;DATA_KO!C38,"")</f>
        <v/>
      </c>
      <c r="G43" s="274">
        <f>IF(A43&lt;&gt;"",DATA_KO!G38,"")</f>
        <v/>
      </c>
      <c r="H43" s="273">
        <f>IF(A43&lt;&gt;"",""&amp;DATA_KO!H38,"")</f>
        <v/>
      </c>
      <c r="I43" s="273">
        <f>IF(A43&lt;&gt;"",""&amp;DATA_KO!I38,"")</f>
        <v/>
      </c>
      <c r="J43" s="275">
        <f>IF(A43&lt;&gt;"","➔ Inspect Item","")</f>
        <v/>
      </c>
    </row>
    <row r="44" ht="15.75" customHeight="1" s="132">
      <c r="A44" s="273">
        <f>IF(DATA_KO!A39&lt;&gt;"","Q-"&amp;TEXT(38,"000"),"")</f>
        <v/>
      </c>
      <c r="B44" s="273">
        <f>IF(DATA_KO!A39&lt;&gt;"",""&amp;DATA_KO!A39,"")</f>
        <v/>
      </c>
      <c r="C44" s="273">
        <f>IF(A44&lt;&gt;"",""&amp;DATA_KO!H39&amp;"_KO","")</f>
        <v/>
      </c>
      <c r="D44" s="273">
        <f>IF(A44&lt;&gt;"","Candidate: "&amp;DATA_KO!B39,"")</f>
        <v/>
      </c>
      <c r="E44" s="273">
        <f>IF(A44&lt;&gt;"","EO: "&amp;DATA_KO!Q39&amp;", IO: "&amp;DATA_KO!R39,"")</f>
        <v/>
      </c>
      <c r="F44" s="273">
        <f>IF(A44&lt;&gt;"",""&amp;DATA_KO!C39,"")</f>
        <v/>
      </c>
      <c r="G44" s="274">
        <f>IF(A44&lt;&gt;"",DATA_KO!G39,"")</f>
        <v/>
      </c>
      <c r="H44" s="273">
        <f>IF(A44&lt;&gt;"",""&amp;DATA_KO!H39,"")</f>
        <v/>
      </c>
      <c r="I44" s="273">
        <f>IF(A44&lt;&gt;"",""&amp;DATA_KO!I39,"")</f>
        <v/>
      </c>
      <c r="J44" s="275">
        <f>IF(A44&lt;&gt;"","➔ Inspect Item","")</f>
        <v/>
      </c>
    </row>
    <row r="45" ht="15.75" customHeight="1" s="132">
      <c r="A45" s="273">
        <f>IF(DATA_KO!A40&lt;&gt;"","Q-"&amp;TEXT(39,"000"),"")</f>
        <v/>
      </c>
      <c r="B45" s="273">
        <f>IF(DATA_KO!A40&lt;&gt;"",""&amp;DATA_KO!A40,"")</f>
        <v/>
      </c>
      <c r="C45" s="273">
        <f>IF(A45&lt;&gt;"",""&amp;DATA_KO!H40&amp;"_KO","")</f>
        <v/>
      </c>
      <c r="D45" s="273">
        <f>IF(A45&lt;&gt;"","Candidate: "&amp;DATA_KO!B40,"")</f>
        <v/>
      </c>
      <c r="E45" s="273">
        <f>IF(A45&lt;&gt;"","EO: "&amp;DATA_KO!Q40&amp;", IO: "&amp;DATA_KO!R40,"")</f>
        <v/>
      </c>
      <c r="F45" s="273">
        <f>IF(A45&lt;&gt;"",""&amp;DATA_KO!C40,"")</f>
        <v/>
      </c>
      <c r="G45" s="274">
        <f>IF(A45&lt;&gt;"",DATA_KO!G40,"")</f>
        <v/>
      </c>
      <c r="H45" s="273">
        <f>IF(A45&lt;&gt;"",""&amp;DATA_KO!H40,"")</f>
        <v/>
      </c>
      <c r="I45" s="273">
        <f>IF(A45&lt;&gt;"",""&amp;DATA_KO!I40,"")</f>
        <v/>
      </c>
      <c r="J45" s="275">
        <f>IF(A45&lt;&gt;"","➔ Inspect Item","")</f>
        <v/>
      </c>
    </row>
    <row r="46" ht="15.75" customHeight="1" s="132">
      <c r="A46" s="273">
        <f>IF(DATA_KO!A41&lt;&gt;"","Q-"&amp;TEXT(40,"000"),"")</f>
        <v/>
      </c>
      <c r="B46" s="273">
        <f>IF(DATA_KO!A41&lt;&gt;"",""&amp;DATA_KO!A41,"")</f>
        <v/>
      </c>
      <c r="C46" s="273">
        <f>IF(A46&lt;&gt;"",""&amp;DATA_KO!H41&amp;"_KO","")</f>
        <v/>
      </c>
      <c r="D46" s="273">
        <f>IF(A46&lt;&gt;"","Candidate: "&amp;DATA_KO!B41,"")</f>
        <v/>
      </c>
      <c r="E46" s="273">
        <f>IF(A46&lt;&gt;"","EO: "&amp;DATA_KO!Q41&amp;", IO: "&amp;DATA_KO!R41,"")</f>
        <v/>
      </c>
      <c r="F46" s="273">
        <f>IF(A46&lt;&gt;"",""&amp;DATA_KO!C41,"")</f>
        <v/>
      </c>
      <c r="G46" s="274">
        <f>IF(A46&lt;&gt;"",DATA_KO!G41,"")</f>
        <v/>
      </c>
      <c r="H46" s="273">
        <f>IF(A46&lt;&gt;"",""&amp;DATA_KO!H41,"")</f>
        <v/>
      </c>
      <c r="I46" s="273">
        <f>IF(A46&lt;&gt;"",""&amp;DATA_KO!I41,"")</f>
        <v/>
      </c>
      <c r="J46" s="275">
        <f>IF(A46&lt;&gt;"","➔ Inspect Item","")</f>
        <v/>
      </c>
    </row>
    <row r="47" ht="15.75" customHeight="1" s="132">
      <c r="A47" s="273">
        <f>IF(DATA_KO!A42&lt;&gt;"","Q-"&amp;TEXT(41,"000"),"")</f>
        <v/>
      </c>
      <c r="B47" s="273">
        <f>IF(DATA_KO!A42&lt;&gt;"",""&amp;DATA_KO!A42,"")</f>
        <v/>
      </c>
      <c r="C47" s="273">
        <f>IF(A47&lt;&gt;"",""&amp;DATA_KO!H42&amp;"_KO","")</f>
        <v/>
      </c>
      <c r="D47" s="273">
        <f>IF(A47&lt;&gt;"","Candidate: "&amp;DATA_KO!B42,"")</f>
        <v/>
      </c>
      <c r="E47" s="273">
        <f>IF(A47&lt;&gt;"","EO: "&amp;DATA_KO!Q42&amp;", IO: "&amp;DATA_KO!R42,"")</f>
        <v/>
      </c>
      <c r="F47" s="273">
        <f>IF(A47&lt;&gt;"",""&amp;DATA_KO!C42,"")</f>
        <v/>
      </c>
      <c r="G47" s="274">
        <f>IF(A47&lt;&gt;"",DATA_KO!G42,"")</f>
        <v/>
      </c>
      <c r="H47" s="273">
        <f>IF(A47&lt;&gt;"",""&amp;DATA_KO!H42,"")</f>
        <v/>
      </c>
      <c r="I47" s="273">
        <f>IF(A47&lt;&gt;"",""&amp;DATA_KO!I42,"")</f>
        <v/>
      </c>
      <c r="J47" s="275">
        <f>IF(A47&lt;&gt;"","➔ Inspect Item","")</f>
        <v/>
      </c>
    </row>
    <row r="48" ht="15.75" customHeight="1" s="132">
      <c r="A48" s="273">
        <f>IF(DATA_KO!A43&lt;&gt;"","Q-"&amp;TEXT(42,"000"),"")</f>
        <v/>
      </c>
      <c r="B48" s="273">
        <f>IF(DATA_KO!A43&lt;&gt;"",""&amp;DATA_KO!A43,"")</f>
        <v/>
      </c>
      <c r="C48" s="273">
        <f>IF(A48&lt;&gt;"",""&amp;DATA_KO!H43&amp;"_KO","")</f>
        <v/>
      </c>
      <c r="D48" s="273">
        <f>IF(A48&lt;&gt;"","Candidate: "&amp;DATA_KO!B43,"")</f>
        <v/>
      </c>
      <c r="E48" s="273">
        <f>IF(A48&lt;&gt;"","EO: "&amp;DATA_KO!Q43&amp;", IO: "&amp;DATA_KO!R43,"")</f>
        <v/>
      </c>
      <c r="F48" s="273">
        <f>IF(A48&lt;&gt;"",""&amp;DATA_KO!C43,"")</f>
        <v/>
      </c>
      <c r="G48" s="274">
        <f>IF(A48&lt;&gt;"",DATA_KO!G43,"")</f>
        <v/>
      </c>
      <c r="H48" s="273">
        <f>IF(A48&lt;&gt;"",""&amp;DATA_KO!H43,"")</f>
        <v/>
      </c>
      <c r="I48" s="273">
        <f>IF(A48&lt;&gt;"",""&amp;DATA_KO!I43,"")</f>
        <v/>
      </c>
      <c r="J48" s="275">
        <f>IF(A48&lt;&gt;"","➔ Inspect Item","")</f>
        <v/>
      </c>
    </row>
    <row r="49" ht="15.75" customHeight="1" s="132">
      <c r="A49" s="273">
        <f>IF(DATA_KO!A44&lt;&gt;"","Q-"&amp;TEXT(43,"000"),"")</f>
        <v/>
      </c>
      <c r="B49" s="273">
        <f>IF(DATA_KO!A44&lt;&gt;"",""&amp;DATA_KO!A44,"")</f>
        <v/>
      </c>
      <c r="C49" s="273">
        <f>IF(A49&lt;&gt;"",""&amp;DATA_KO!H44&amp;"_KO","")</f>
        <v/>
      </c>
      <c r="D49" s="273">
        <f>IF(A49&lt;&gt;"","Candidate: "&amp;DATA_KO!B44,"")</f>
        <v/>
      </c>
      <c r="E49" s="273">
        <f>IF(A49&lt;&gt;"","EO: "&amp;DATA_KO!Q44&amp;", IO: "&amp;DATA_KO!R44,"")</f>
        <v/>
      </c>
      <c r="F49" s="273">
        <f>IF(A49&lt;&gt;"",""&amp;DATA_KO!C44,"")</f>
        <v/>
      </c>
      <c r="G49" s="274">
        <f>IF(A49&lt;&gt;"",DATA_KO!G44,"")</f>
        <v/>
      </c>
      <c r="H49" s="273">
        <f>IF(A49&lt;&gt;"",""&amp;DATA_KO!H44,"")</f>
        <v/>
      </c>
      <c r="I49" s="273">
        <f>IF(A49&lt;&gt;"",""&amp;DATA_KO!I44,"")</f>
        <v/>
      </c>
      <c r="J49" s="275">
        <f>IF(A49&lt;&gt;"","➔ Inspect Item","")</f>
        <v/>
      </c>
    </row>
    <row r="50" ht="15.75" customHeight="1" s="132">
      <c r="A50" s="273">
        <f>IF(DATA_KO!A45&lt;&gt;"","Q-"&amp;TEXT(44,"000"),"")</f>
        <v/>
      </c>
      <c r="B50" s="273">
        <f>IF(DATA_KO!A45&lt;&gt;"",""&amp;DATA_KO!A45,"")</f>
        <v/>
      </c>
      <c r="C50" s="273">
        <f>IF(A50&lt;&gt;"",""&amp;DATA_KO!H45&amp;"_KO","")</f>
        <v/>
      </c>
      <c r="D50" s="273">
        <f>IF(A50&lt;&gt;"","Candidate: "&amp;DATA_KO!B45,"")</f>
        <v/>
      </c>
      <c r="E50" s="273">
        <f>IF(A50&lt;&gt;"","EO: "&amp;DATA_KO!Q45&amp;", IO: "&amp;DATA_KO!R45,"")</f>
        <v/>
      </c>
      <c r="F50" s="273">
        <f>IF(A50&lt;&gt;"",""&amp;DATA_KO!C45,"")</f>
        <v/>
      </c>
      <c r="G50" s="274">
        <f>IF(A50&lt;&gt;"",DATA_KO!G45,"")</f>
        <v/>
      </c>
      <c r="H50" s="273">
        <f>IF(A50&lt;&gt;"",""&amp;DATA_KO!H45,"")</f>
        <v/>
      </c>
      <c r="I50" s="273">
        <f>IF(A50&lt;&gt;"",""&amp;DATA_KO!I45,"")</f>
        <v/>
      </c>
      <c r="J50" s="275">
        <f>IF(A50&lt;&gt;"","➔ Inspect Item","")</f>
        <v/>
      </c>
    </row>
    <row r="51" ht="15.75" customHeight="1" s="132">
      <c r="A51" s="273">
        <f>IF(DATA_KO!A46&lt;&gt;"","Q-"&amp;TEXT(45,"000"),"")</f>
        <v/>
      </c>
      <c r="B51" s="273">
        <f>IF(DATA_KO!A46&lt;&gt;"",""&amp;DATA_KO!A46,"")</f>
        <v/>
      </c>
      <c r="C51" s="273">
        <f>IF(A51&lt;&gt;"",""&amp;DATA_KO!H46&amp;"_KO","")</f>
        <v/>
      </c>
      <c r="D51" s="273">
        <f>IF(A51&lt;&gt;"","Candidate: "&amp;DATA_KO!B46,"")</f>
        <v/>
      </c>
      <c r="E51" s="273">
        <f>IF(A51&lt;&gt;"","EO: "&amp;DATA_KO!Q46&amp;", IO: "&amp;DATA_KO!R46,"")</f>
        <v/>
      </c>
      <c r="F51" s="273">
        <f>IF(A51&lt;&gt;"",""&amp;DATA_KO!C46,"")</f>
        <v/>
      </c>
      <c r="G51" s="274">
        <f>IF(A51&lt;&gt;"",DATA_KO!G46,"")</f>
        <v/>
      </c>
      <c r="H51" s="273">
        <f>IF(A51&lt;&gt;"",""&amp;DATA_KO!H46,"")</f>
        <v/>
      </c>
      <c r="I51" s="273">
        <f>IF(A51&lt;&gt;"",""&amp;DATA_KO!I46,"")</f>
        <v/>
      </c>
      <c r="J51" s="275">
        <f>IF(A51&lt;&gt;"","➔ Inspect Item","")</f>
        <v/>
      </c>
    </row>
    <row r="52" ht="15.75" customHeight="1" s="132">
      <c r="A52" s="273">
        <f>IF(DATA_KO!A47&lt;&gt;"","Q-"&amp;TEXT(46,"000"),"")</f>
        <v/>
      </c>
      <c r="B52" s="273">
        <f>IF(DATA_KO!A47&lt;&gt;"",""&amp;DATA_KO!A47,"")</f>
        <v/>
      </c>
      <c r="C52" s="273">
        <f>IF(A52&lt;&gt;"",""&amp;DATA_KO!H47&amp;"_KO","")</f>
        <v/>
      </c>
      <c r="D52" s="273">
        <f>IF(A52&lt;&gt;"","Candidate: "&amp;DATA_KO!B47,"")</f>
        <v/>
      </c>
      <c r="E52" s="273">
        <f>IF(A52&lt;&gt;"","EO: "&amp;DATA_KO!Q47&amp;", IO: "&amp;DATA_KO!R47,"")</f>
        <v/>
      </c>
      <c r="F52" s="273">
        <f>IF(A52&lt;&gt;"",""&amp;DATA_KO!C47,"")</f>
        <v/>
      </c>
      <c r="G52" s="274">
        <f>IF(A52&lt;&gt;"",DATA_KO!G47,"")</f>
        <v/>
      </c>
      <c r="H52" s="273">
        <f>IF(A52&lt;&gt;"",""&amp;DATA_KO!H47,"")</f>
        <v/>
      </c>
      <c r="I52" s="273">
        <f>IF(A52&lt;&gt;"",""&amp;DATA_KO!I47,"")</f>
        <v/>
      </c>
      <c r="J52" s="275">
        <f>IF(A52&lt;&gt;"","➔ Inspect Item","")</f>
        <v/>
      </c>
    </row>
    <row r="53" ht="15.75" customHeight="1" s="132">
      <c r="A53" s="273">
        <f>IF(DATA_KO!A48&lt;&gt;"","Q-"&amp;TEXT(47,"000"),"")</f>
        <v/>
      </c>
      <c r="B53" s="273">
        <f>IF(DATA_KO!A48&lt;&gt;"",""&amp;DATA_KO!A48,"")</f>
        <v/>
      </c>
      <c r="C53" s="273">
        <f>IF(A53&lt;&gt;"",""&amp;DATA_KO!H48&amp;"_KO","")</f>
        <v/>
      </c>
      <c r="D53" s="273">
        <f>IF(A53&lt;&gt;"","Candidate: "&amp;DATA_KO!B48,"")</f>
        <v/>
      </c>
      <c r="E53" s="273">
        <f>IF(A53&lt;&gt;"","EO: "&amp;DATA_KO!Q48&amp;", IO: "&amp;DATA_KO!R48,"")</f>
        <v/>
      </c>
      <c r="F53" s="273">
        <f>IF(A53&lt;&gt;"",""&amp;DATA_KO!C48,"")</f>
        <v/>
      </c>
      <c r="G53" s="274">
        <f>IF(A53&lt;&gt;"",DATA_KO!G48,"")</f>
        <v/>
      </c>
      <c r="H53" s="273">
        <f>IF(A53&lt;&gt;"",""&amp;DATA_KO!H48,"")</f>
        <v/>
      </c>
      <c r="I53" s="273">
        <f>IF(A53&lt;&gt;"",""&amp;DATA_KO!I48,"")</f>
        <v/>
      </c>
      <c r="J53" s="275">
        <f>IF(A53&lt;&gt;"","➔ Inspect Item","")</f>
        <v/>
      </c>
    </row>
    <row r="54" ht="15.75" customHeight="1" s="132">
      <c r="A54" s="273">
        <f>IF(DATA_KO!A49&lt;&gt;"","Q-"&amp;TEXT(48,"000"),"")</f>
        <v/>
      </c>
      <c r="B54" s="273">
        <f>IF(DATA_KO!A49&lt;&gt;"",""&amp;DATA_KO!A49,"")</f>
        <v/>
      </c>
      <c r="C54" s="273">
        <f>IF(A54&lt;&gt;"",""&amp;DATA_KO!H49&amp;"_KO","")</f>
        <v/>
      </c>
      <c r="D54" s="273">
        <f>IF(A54&lt;&gt;"","Candidate: "&amp;DATA_KO!B49,"")</f>
        <v/>
      </c>
      <c r="E54" s="273">
        <f>IF(A54&lt;&gt;"","EO: "&amp;DATA_KO!Q49&amp;", IO: "&amp;DATA_KO!R49,"")</f>
        <v/>
      </c>
      <c r="F54" s="273">
        <f>IF(A54&lt;&gt;"",""&amp;DATA_KO!C49,"")</f>
        <v/>
      </c>
      <c r="G54" s="274">
        <f>IF(A54&lt;&gt;"",DATA_KO!G49,"")</f>
        <v/>
      </c>
      <c r="H54" s="273">
        <f>IF(A54&lt;&gt;"",""&amp;DATA_KO!H49,"")</f>
        <v/>
      </c>
      <c r="I54" s="273">
        <f>IF(A54&lt;&gt;"",""&amp;DATA_KO!I49,"")</f>
        <v/>
      </c>
      <c r="J54" s="275">
        <f>IF(A54&lt;&gt;"","➔ Inspect Item","")</f>
        <v/>
      </c>
    </row>
    <row r="55" ht="15.75" customHeight="1" s="132">
      <c r="A55" s="273">
        <f>IF(DATA_KO!A50&lt;&gt;"","Q-"&amp;TEXT(49,"000"),"")</f>
        <v/>
      </c>
      <c r="B55" s="273">
        <f>IF(DATA_KO!A50&lt;&gt;"",""&amp;DATA_KO!A50,"")</f>
        <v/>
      </c>
      <c r="C55" s="273">
        <f>IF(A55&lt;&gt;"",""&amp;DATA_KO!H50&amp;"_KO","")</f>
        <v/>
      </c>
      <c r="D55" s="273">
        <f>IF(A55&lt;&gt;"","Candidate: "&amp;DATA_KO!B50,"")</f>
        <v/>
      </c>
      <c r="E55" s="273">
        <f>IF(A55&lt;&gt;"","EO: "&amp;DATA_KO!Q50&amp;", IO: "&amp;DATA_KO!R50,"")</f>
        <v/>
      </c>
      <c r="F55" s="273">
        <f>IF(A55&lt;&gt;"",""&amp;DATA_KO!C50,"")</f>
        <v/>
      </c>
      <c r="G55" s="274">
        <f>IF(A55&lt;&gt;"",DATA_KO!G50,"")</f>
        <v/>
      </c>
      <c r="H55" s="273">
        <f>IF(A55&lt;&gt;"",""&amp;DATA_KO!H50,"")</f>
        <v/>
      </c>
      <c r="I55" s="273">
        <f>IF(A55&lt;&gt;"",""&amp;DATA_KO!I50,"")</f>
        <v/>
      </c>
      <c r="J55" s="275">
        <f>IF(A55&lt;&gt;"","➔ Inspect Item","")</f>
        <v/>
      </c>
    </row>
    <row r="56" ht="15.75" customHeight="1" s="132">
      <c r="A56" s="273">
        <f>IF(DATA_KO!A51&lt;&gt;"","Q-"&amp;TEXT(50,"000"),"")</f>
        <v/>
      </c>
      <c r="B56" s="273">
        <f>IF(DATA_KO!A51&lt;&gt;"",""&amp;DATA_KO!A51,"")</f>
        <v/>
      </c>
      <c r="C56" s="273">
        <f>IF(A56&lt;&gt;"",""&amp;DATA_KO!H51&amp;"_KO","")</f>
        <v/>
      </c>
      <c r="D56" s="273">
        <f>IF(A56&lt;&gt;"","Candidate: "&amp;DATA_KO!B51,"")</f>
        <v/>
      </c>
      <c r="E56" s="273">
        <f>IF(A56&lt;&gt;"","EO: "&amp;DATA_KO!Q51&amp;", IO: "&amp;DATA_KO!R51,"")</f>
        <v/>
      </c>
      <c r="F56" s="273">
        <f>IF(A56&lt;&gt;"",""&amp;DATA_KO!C51,"")</f>
        <v/>
      </c>
      <c r="G56" s="274">
        <f>IF(A56&lt;&gt;"",DATA_KO!G51,"")</f>
        <v/>
      </c>
      <c r="H56" s="273">
        <f>IF(A56&lt;&gt;"",""&amp;DATA_KO!H51,"")</f>
        <v/>
      </c>
      <c r="I56" s="273">
        <f>IF(A56&lt;&gt;"",""&amp;DATA_KO!I51,"")</f>
        <v/>
      </c>
      <c r="J56" s="275">
        <f>IF(A56&lt;&gt;"","➔ Inspect Item","")</f>
        <v/>
      </c>
    </row>
    <row r="57" ht="15.75" customHeight="1" s="132">
      <c r="A57" s="273">
        <f>IF(DATA_KO!A52&lt;&gt;"","Q-"&amp;TEXT(51,"000"),"")</f>
        <v/>
      </c>
      <c r="B57" s="273">
        <f>IF(DATA_KO!A52&lt;&gt;"",""&amp;DATA_KO!A52,"")</f>
        <v/>
      </c>
      <c r="C57" s="273">
        <f>IF(A57&lt;&gt;"",""&amp;DATA_KO!H52&amp;"_KO","")</f>
        <v/>
      </c>
      <c r="D57" s="273">
        <f>IF(A57&lt;&gt;"","Candidate: "&amp;DATA_KO!B52,"")</f>
        <v/>
      </c>
      <c r="E57" s="273">
        <f>IF(A57&lt;&gt;"","EO: "&amp;DATA_KO!Q52&amp;", IO: "&amp;DATA_KO!R52,"")</f>
        <v/>
      </c>
      <c r="F57" s="273">
        <f>IF(A57&lt;&gt;"",""&amp;DATA_KO!C52,"")</f>
        <v/>
      </c>
      <c r="G57" s="274">
        <f>IF(A57&lt;&gt;"",DATA_KO!G52,"")</f>
        <v/>
      </c>
      <c r="H57" s="273">
        <f>IF(A57&lt;&gt;"",""&amp;DATA_KO!H52,"")</f>
        <v/>
      </c>
      <c r="I57" s="273">
        <f>IF(A57&lt;&gt;"",""&amp;DATA_KO!I52,"")</f>
        <v/>
      </c>
      <c r="J57" s="275">
        <f>IF(A57&lt;&gt;"","➔ Inspect Item","")</f>
        <v/>
      </c>
    </row>
    <row r="58" ht="15.75" customHeight="1" s="132">
      <c r="A58" s="273">
        <f>IF(DATA_KO!A53&lt;&gt;"","Q-"&amp;TEXT(52,"000"),"")</f>
        <v/>
      </c>
      <c r="B58" s="273">
        <f>IF(DATA_KO!A53&lt;&gt;"",""&amp;DATA_KO!A53,"")</f>
        <v/>
      </c>
      <c r="C58" s="273">
        <f>IF(A58&lt;&gt;"",""&amp;DATA_KO!H53&amp;"_KO","")</f>
        <v/>
      </c>
      <c r="D58" s="273">
        <f>IF(A58&lt;&gt;"","Candidate: "&amp;DATA_KO!B53,"")</f>
        <v/>
      </c>
      <c r="E58" s="273">
        <f>IF(A58&lt;&gt;"","EO: "&amp;DATA_KO!Q53&amp;", IO: "&amp;DATA_KO!R53,"")</f>
        <v/>
      </c>
      <c r="F58" s="273">
        <f>IF(A58&lt;&gt;"",""&amp;DATA_KO!C53,"")</f>
        <v/>
      </c>
      <c r="G58" s="274">
        <f>IF(A58&lt;&gt;"",DATA_KO!G53,"")</f>
        <v/>
      </c>
      <c r="H58" s="273">
        <f>IF(A58&lt;&gt;"",""&amp;DATA_KO!H53,"")</f>
        <v/>
      </c>
      <c r="I58" s="273">
        <f>IF(A58&lt;&gt;"",""&amp;DATA_KO!I53,"")</f>
        <v/>
      </c>
      <c r="J58" s="275">
        <f>IF(A58&lt;&gt;"","➔ Inspect Item","")</f>
        <v/>
      </c>
    </row>
    <row r="59" ht="15.75" customHeight="1" s="132">
      <c r="A59" s="273">
        <f>IF(DATA_KO!A54&lt;&gt;"","Q-"&amp;TEXT(53,"000"),"")</f>
        <v/>
      </c>
      <c r="B59" s="273">
        <f>IF(DATA_KO!A54&lt;&gt;"",""&amp;DATA_KO!A54,"")</f>
        <v/>
      </c>
      <c r="C59" s="273">
        <f>IF(A59&lt;&gt;"",""&amp;DATA_KO!H54&amp;"_KO","")</f>
        <v/>
      </c>
      <c r="D59" s="273">
        <f>IF(A59&lt;&gt;"","Candidate: "&amp;DATA_KO!B54,"")</f>
        <v/>
      </c>
      <c r="E59" s="273">
        <f>IF(A59&lt;&gt;"","EO: "&amp;DATA_KO!Q54&amp;", IO: "&amp;DATA_KO!R54,"")</f>
        <v/>
      </c>
      <c r="F59" s="273">
        <f>IF(A59&lt;&gt;"",""&amp;DATA_KO!C54,"")</f>
        <v/>
      </c>
      <c r="G59" s="274">
        <f>IF(A59&lt;&gt;"",DATA_KO!G54,"")</f>
        <v/>
      </c>
      <c r="H59" s="273">
        <f>IF(A59&lt;&gt;"",""&amp;DATA_KO!H54,"")</f>
        <v/>
      </c>
      <c r="I59" s="273">
        <f>IF(A59&lt;&gt;"",""&amp;DATA_KO!I54,"")</f>
        <v/>
      </c>
      <c r="J59" s="275">
        <f>IF(A59&lt;&gt;"","➔ Inspect Item","")</f>
        <v/>
      </c>
    </row>
    <row r="60" ht="15.75" customHeight="1" s="132">
      <c r="A60" s="273">
        <f>IF(DATA_KO!A55&lt;&gt;"","Q-"&amp;TEXT(54,"000"),"")</f>
        <v/>
      </c>
      <c r="B60" s="273">
        <f>IF(DATA_KO!A55&lt;&gt;"",""&amp;DATA_KO!A55,"")</f>
        <v/>
      </c>
      <c r="C60" s="273">
        <f>IF(A60&lt;&gt;"",""&amp;DATA_KO!H55&amp;"_KO","")</f>
        <v/>
      </c>
      <c r="D60" s="273">
        <f>IF(A60&lt;&gt;"","Candidate: "&amp;DATA_KO!B55,"")</f>
        <v/>
      </c>
      <c r="E60" s="273">
        <f>IF(A60&lt;&gt;"","EO: "&amp;DATA_KO!Q55&amp;", IO: "&amp;DATA_KO!R55,"")</f>
        <v/>
      </c>
      <c r="F60" s="273">
        <f>IF(A60&lt;&gt;"",""&amp;DATA_KO!C55,"")</f>
        <v/>
      </c>
      <c r="G60" s="274">
        <f>IF(A60&lt;&gt;"",DATA_KO!G55,"")</f>
        <v/>
      </c>
      <c r="H60" s="273">
        <f>IF(A60&lt;&gt;"",""&amp;DATA_KO!H55,"")</f>
        <v/>
      </c>
      <c r="I60" s="273">
        <f>IF(A60&lt;&gt;"",""&amp;DATA_KO!I55,"")</f>
        <v/>
      </c>
      <c r="J60" s="275">
        <f>IF(A60&lt;&gt;"","➔ Inspect Item","")</f>
        <v/>
      </c>
    </row>
    <row r="61" ht="15.75" customHeight="1" s="132">
      <c r="A61" s="273">
        <f>IF(DATA_KO!A56&lt;&gt;"","Q-"&amp;TEXT(55,"000"),"")</f>
        <v/>
      </c>
      <c r="B61" s="273">
        <f>IF(DATA_KO!A56&lt;&gt;"",""&amp;DATA_KO!A56,"")</f>
        <v/>
      </c>
      <c r="C61" s="273">
        <f>IF(A61&lt;&gt;"",""&amp;DATA_KO!H56&amp;"_KO","")</f>
        <v/>
      </c>
      <c r="D61" s="273">
        <f>IF(A61&lt;&gt;"","Candidate: "&amp;DATA_KO!B56,"")</f>
        <v/>
      </c>
      <c r="E61" s="273">
        <f>IF(A61&lt;&gt;"","EO: "&amp;DATA_KO!Q56&amp;", IO: "&amp;DATA_KO!R56,"")</f>
        <v/>
      </c>
      <c r="F61" s="273">
        <f>IF(A61&lt;&gt;"",""&amp;DATA_KO!C56,"")</f>
        <v/>
      </c>
      <c r="G61" s="274">
        <f>IF(A61&lt;&gt;"",DATA_KO!G56,"")</f>
        <v/>
      </c>
      <c r="H61" s="273">
        <f>IF(A61&lt;&gt;"",""&amp;DATA_KO!H56,"")</f>
        <v/>
      </c>
      <c r="I61" s="273">
        <f>IF(A61&lt;&gt;"",""&amp;DATA_KO!I56,"")</f>
        <v/>
      </c>
      <c r="J61" s="275">
        <f>IF(A61&lt;&gt;"","➔ Inspect Item","")</f>
        <v/>
      </c>
    </row>
    <row r="62" ht="15.75" customHeight="1" s="132">
      <c r="A62" s="273">
        <f>IF(DATA_KO!A57&lt;&gt;"","Q-"&amp;TEXT(56,"000"),"")</f>
        <v/>
      </c>
      <c r="B62" s="273">
        <f>IF(DATA_KO!A57&lt;&gt;"",""&amp;DATA_KO!A57,"")</f>
        <v/>
      </c>
      <c r="C62" s="273">
        <f>IF(A62&lt;&gt;"",""&amp;DATA_KO!H57&amp;"_KO","")</f>
        <v/>
      </c>
      <c r="D62" s="273">
        <f>IF(A62&lt;&gt;"","Candidate: "&amp;DATA_KO!B57,"")</f>
        <v/>
      </c>
      <c r="E62" s="273">
        <f>IF(A62&lt;&gt;"","EO: "&amp;DATA_KO!Q57&amp;", IO: "&amp;DATA_KO!R57,"")</f>
        <v/>
      </c>
      <c r="F62" s="273">
        <f>IF(A62&lt;&gt;"",""&amp;DATA_KO!C57,"")</f>
        <v/>
      </c>
      <c r="G62" s="274">
        <f>IF(A62&lt;&gt;"",DATA_KO!G57,"")</f>
        <v/>
      </c>
      <c r="H62" s="273">
        <f>IF(A62&lt;&gt;"",""&amp;DATA_KO!H57,"")</f>
        <v/>
      </c>
      <c r="I62" s="273">
        <f>IF(A62&lt;&gt;"",""&amp;DATA_KO!I57,"")</f>
        <v/>
      </c>
      <c r="J62" s="275">
        <f>IF(A62&lt;&gt;"","➔ Inspect Item","")</f>
        <v/>
      </c>
    </row>
    <row r="63" ht="15.75" customHeight="1" s="132">
      <c r="A63" s="273">
        <f>IF(DATA_KO!A58&lt;&gt;"","Q-"&amp;TEXT(57,"000"),"")</f>
        <v/>
      </c>
      <c r="B63" s="273">
        <f>IF(DATA_KO!A58&lt;&gt;"",""&amp;DATA_KO!A58,"")</f>
        <v/>
      </c>
      <c r="C63" s="273">
        <f>IF(A63&lt;&gt;"",""&amp;DATA_KO!H58&amp;"_KO","")</f>
        <v/>
      </c>
      <c r="D63" s="273">
        <f>IF(A63&lt;&gt;"","Candidate: "&amp;DATA_KO!B58,"")</f>
        <v/>
      </c>
      <c r="E63" s="273">
        <f>IF(A63&lt;&gt;"","EO: "&amp;DATA_KO!Q58&amp;", IO: "&amp;DATA_KO!R58,"")</f>
        <v/>
      </c>
      <c r="F63" s="273">
        <f>IF(A63&lt;&gt;"",""&amp;DATA_KO!C58,"")</f>
        <v/>
      </c>
      <c r="G63" s="274">
        <f>IF(A63&lt;&gt;"",DATA_KO!G58,"")</f>
        <v/>
      </c>
      <c r="H63" s="273">
        <f>IF(A63&lt;&gt;"",""&amp;DATA_KO!H58,"")</f>
        <v/>
      </c>
      <c r="I63" s="273">
        <f>IF(A63&lt;&gt;"",""&amp;DATA_KO!I58,"")</f>
        <v/>
      </c>
      <c r="J63" s="275">
        <f>IF(A63&lt;&gt;"","➔ Inspect Item","")</f>
        <v/>
      </c>
    </row>
    <row r="64" ht="15.75" customHeight="1" s="132">
      <c r="A64" s="273">
        <f>IF(DATA_KO!A59&lt;&gt;"","Q-"&amp;TEXT(58,"000"),"")</f>
        <v/>
      </c>
      <c r="B64" s="273">
        <f>IF(DATA_KO!A59&lt;&gt;"",""&amp;DATA_KO!A59,"")</f>
        <v/>
      </c>
      <c r="C64" s="273">
        <f>IF(A64&lt;&gt;"",""&amp;DATA_KO!H59&amp;"_KO","")</f>
        <v/>
      </c>
      <c r="D64" s="273">
        <f>IF(A64&lt;&gt;"","Candidate: "&amp;DATA_KO!B59,"")</f>
        <v/>
      </c>
      <c r="E64" s="273">
        <f>IF(A64&lt;&gt;"","EO: "&amp;DATA_KO!Q59&amp;", IO: "&amp;DATA_KO!R59,"")</f>
        <v/>
      </c>
      <c r="F64" s="273">
        <f>IF(A64&lt;&gt;"",""&amp;DATA_KO!C59,"")</f>
        <v/>
      </c>
      <c r="G64" s="274">
        <f>IF(A64&lt;&gt;"",DATA_KO!G59,"")</f>
        <v/>
      </c>
      <c r="H64" s="273">
        <f>IF(A64&lt;&gt;"",""&amp;DATA_KO!H59,"")</f>
        <v/>
      </c>
      <c r="I64" s="273">
        <f>IF(A64&lt;&gt;"",""&amp;DATA_KO!I59,"")</f>
        <v/>
      </c>
      <c r="J64" s="275">
        <f>IF(A64&lt;&gt;"","➔ Inspect Item","")</f>
        <v/>
      </c>
    </row>
    <row r="65" ht="15.75" customHeight="1" s="132">
      <c r="A65" s="273">
        <f>IF(DATA_KO!A60&lt;&gt;"","Q-"&amp;TEXT(59,"000"),"")</f>
        <v/>
      </c>
      <c r="B65" s="273">
        <f>IF(DATA_KO!A60&lt;&gt;"",""&amp;DATA_KO!A60,"")</f>
        <v/>
      </c>
      <c r="C65" s="273">
        <f>IF(A65&lt;&gt;"",""&amp;DATA_KO!H60&amp;"_KO","")</f>
        <v/>
      </c>
      <c r="D65" s="273">
        <f>IF(A65&lt;&gt;"","Candidate: "&amp;DATA_KO!B60,"")</f>
        <v/>
      </c>
      <c r="E65" s="273">
        <f>IF(A65&lt;&gt;"","EO: "&amp;DATA_KO!Q60&amp;", IO: "&amp;DATA_KO!R60,"")</f>
        <v/>
      </c>
      <c r="F65" s="273">
        <f>IF(A65&lt;&gt;"",""&amp;DATA_KO!C60,"")</f>
        <v/>
      </c>
      <c r="G65" s="274">
        <f>IF(A65&lt;&gt;"",DATA_KO!G60,"")</f>
        <v/>
      </c>
      <c r="H65" s="273">
        <f>IF(A65&lt;&gt;"",""&amp;DATA_KO!H60,"")</f>
        <v/>
      </c>
      <c r="I65" s="273">
        <f>IF(A65&lt;&gt;"",""&amp;DATA_KO!I60,"")</f>
        <v/>
      </c>
      <c r="J65" s="275">
        <f>IF(A65&lt;&gt;"","➔ Inspect Item","")</f>
        <v/>
      </c>
    </row>
    <row r="66" ht="15.75" customHeight="1" s="132">
      <c r="A66" s="273">
        <f>IF(DATA_KO!A61&lt;&gt;"","Q-"&amp;TEXT(60,"000"),"")</f>
        <v/>
      </c>
      <c r="B66" s="273">
        <f>IF(DATA_KO!A61&lt;&gt;"",""&amp;DATA_KO!A61,"")</f>
        <v/>
      </c>
      <c r="C66" s="273">
        <f>IF(A66&lt;&gt;"",""&amp;DATA_KO!H61&amp;"_KO","")</f>
        <v/>
      </c>
      <c r="D66" s="273">
        <f>IF(A66&lt;&gt;"","Candidate: "&amp;DATA_KO!B61,"")</f>
        <v/>
      </c>
      <c r="E66" s="273">
        <f>IF(A66&lt;&gt;"","EO: "&amp;DATA_KO!Q61&amp;", IO: "&amp;DATA_KO!R61,"")</f>
        <v/>
      </c>
      <c r="F66" s="273">
        <f>IF(A66&lt;&gt;"",""&amp;DATA_KO!C61,"")</f>
        <v/>
      </c>
      <c r="G66" s="274">
        <f>IF(A66&lt;&gt;"",DATA_KO!G61,"")</f>
        <v/>
      </c>
      <c r="H66" s="273">
        <f>IF(A66&lt;&gt;"",""&amp;DATA_KO!H61,"")</f>
        <v/>
      </c>
      <c r="I66" s="273">
        <f>IF(A66&lt;&gt;"",""&amp;DATA_KO!I61,"")</f>
        <v/>
      </c>
      <c r="J66" s="275">
        <f>IF(A66&lt;&gt;"","➔ Inspect Item","")</f>
        <v/>
      </c>
    </row>
    <row r="67" ht="15.75" customHeight="1" s="132">
      <c r="A67" s="273">
        <f>IF(DATA_KO!A62&lt;&gt;"","Q-"&amp;TEXT(61,"000"),"")</f>
        <v/>
      </c>
      <c r="B67" s="273">
        <f>IF(DATA_KO!A62&lt;&gt;"",""&amp;DATA_KO!A62,"")</f>
        <v/>
      </c>
      <c r="C67" s="273">
        <f>IF(A67&lt;&gt;"",""&amp;DATA_KO!H62&amp;"_KO","")</f>
        <v/>
      </c>
      <c r="D67" s="273">
        <f>IF(A67&lt;&gt;"","Candidate: "&amp;DATA_KO!B62,"")</f>
        <v/>
      </c>
      <c r="E67" s="273">
        <f>IF(A67&lt;&gt;"","EO: "&amp;DATA_KO!Q62&amp;", IO: "&amp;DATA_KO!R62,"")</f>
        <v/>
      </c>
      <c r="F67" s="273">
        <f>IF(A67&lt;&gt;"",""&amp;DATA_KO!C62,"")</f>
        <v/>
      </c>
      <c r="G67" s="274">
        <f>IF(A67&lt;&gt;"",DATA_KO!G62,"")</f>
        <v/>
      </c>
      <c r="H67" s="273">
        <f>IF(A67&lt;&gt;"",""&amp;DATA_KO!H62,"")</f>
        <v/>
      </c>
      <c r="I67" s="273">
        <f>IF(A67&lt;&gt;"",""&amp;DATA_KO!I62,"")</f>
        <v/>
      </c>
      <c r="J67" s="275">
        <f>IF(A67&lt;&gt;"","➔ Inspect Item","")</f>
        <v/>
      </c>
    </row>
    <row r="68" ht="15.75" customHeight="1" s="132">
      <c r="A68" s="273">
        <f>IF(DATA_KO!A63&lt;&gt;"","Q-"&amp;TEXT(62,"000"),"")</f>
        <v/>
      </c>
      <c r="B68" s="273">
        <f>IF(DATA_KO!A63&lt;&gt;"",""&amp;DATA_KO!A63,"")</f>
        <v/>
      </c>
      <c r="C68" s="273">
        <f>IF(A68&lt;&gt;"",""&amp;DATA_KO!H63&amp;"_KO","")</f>
        <v/>
      </c>
      <c r="D68" s="273">
        <f>IF(A68&lt;&gt;"","Candidate: "&amp;DATA_KO!B63,"")</f>
        <v/>
      </c>
      <c r="E68" s="273">
        <f>IF(A68&lt;&gt;"","EO: "&amp;DATA_KO!Q63&amp;", IO: "&amp;DATA_KO!R63,"")</f>
        <v/>
      </c>
      <c r="F68" s="273">
        <f>IF(A68&lt;&gt;"",""&amp;DATA_KO!C63,"")</f>
        <v/>
      </c>
      <c r="G68" s="274">
        <f>IF(A68&lt;&gt;"",DATA_KO!G63,"")</f>
        <v/>
      </c>
      <c r="H68" s="273">
        <f>IF(A68&lt;&gt;"",""&amp;DATA_KO!H63,"")</f>
        <v/>
      </c>
      <c r="I68" s="273">
        <f>IF(A68&lt;&gt;"",""&amp;DATA_KO!I63,"")</f>
        <v/>
      </c>
      <c r="J68" s="275">
        <f>IF(A68&lt;&gt;"","➔ Inspect Item","")</f>
        <v/>
      </c>
    </row>
    <row r="69" ht="15.75" customHeight="1" s="132">
      <c r="A69" s="273">
        <f>IF(DATA_KO!A64&lt;&gt;"","Q-"&amp;TEXT(63,"000"),"")</f>
        <v/>
      </c>
      <c r="B69" s="273">
        <f>IF(DATA_KO!A64&lt;&gt;"",""&amp;DATA_KO!A64,"")</f>
        <v/>
      </c>
      <c r="C69" s="273">
        <f>IF(A69&lt;&gt;"",""&amp;DATA_KO!H64&amp;"_KO","")</f>
        <v/>
      </c>
      <c r="D69" s="273">
        <f>IF(A69&lt;&gt;"","Candidate: "&amp;DATA_KO!B64,"")</f>
        <v/>
      </c>
      <c r="E69" s="273">
        <f>IF(A69&lt;&gt;"","EO: "&amp;DATA_KO!Q64&amp;", IO: "&amp;DATA_KO!R64,"")</f>
        <v/>
      </c>
      <c r="F69" s="273">
        <f>IF(A69&lt;&gt;"",""&amp;DATA_KO!C64,"")</f>
        <v/>
      </c>
      <c r="G69" s="274">
        <f>IF(A69&lt;&gt;"",DATA_KO!G64,"")</f>
        <v/>
      </c>
      <c r="H69" s="273">
        <f>IF(A69&lt;&gt;"",""&amp;DATA_KO!H64,"")</f>
        <v/>
      </c>
      <c r="I69" s="273">
        <f>IF(A69&lt;&gt;"",""&amp;DATA_KO!I64,"")</f>
        <v/>
      </c>
      <c r="J69" s="275">
        <f>IF(A69&lt;&gt;"","➔ Inspect Item","")</f>
        <v/>
      </c>
    </row>
    <row r="70" ht="15.75" customHeight="1" s="132">
      <c r="A70" s="273">
        <f>IF(DATA_KO!A65&lt;&gt;"","Q-"&amp;TEXT(64,"000"),"")</f>
        <v/>
      </c>
      <c r="B70" s="273">
        <f>IF(DATA_KO!A65&lt;&gt;"",""&amp;DATA_KO!A65,"")</f>
        <v/>
      </c>
      <c r="C70" s="273">
        <f>IF(A70&lt;&gt;"",""&amp;DATA_KO!H65&amp;"_KO","")</f>
        <v/>
      </c>
      <c r="D70" s="273">
        <f>IF(A70&lt;&gt;"","Candidate: "&amp;DATA_KO!B65,"")</f>
        <v/>
      </c>
      <c r="E70" s="273">
        <f>IF(A70&lt;&gt;"","EO: "&amp;DATA_KO!Q65&amp;", IO: "&amp;DATA_KO!R65,"")</f>
        <v/>
      </c>
      <c r="F70" s="273">
        <f>IF(A70&lt;&gt;"",""&amp;DATA_KO!C65,"")</f>
        <v/>
      </c>
      <c r="G70" s="274">
        <f>IF(A70&lt;&gt;"",DATA_KO!G65,"")</f>
        <v/>
      </c>
      <c r="H70" s="273">
        <f>IF(A70&lt;&gt;"",""&amp;DATA_KO!H65,"")</f>
        <v/>
      </c>
      <c r="I70" s="273">
        <f>IF(A70&lt;&gt;"",""&amp;DATA_KO!I65,"")</f>
        <v/>
      </c>
      <c r="J70" s="275">
        <f>IF(A70&lt;&gt;"","➔ Inspect Item","")</f>
        <v/>
      </c>
    </row>
    <row r="71" ht="15.75" customHeight="1" s="132">
      <c r="A71" s="273">
        <f>IF(DATA_KO!A66&lt;&gt;"","Q-"&amp;TEXT(65,"000"),"")</f>
        <v/>
      </c>
      <c r="B71" s="273">
        <f>IF(DATA_KO!A66&lt;&gt;"",""&amp;DATA_KO!A66,"")</f>
        <v/>
      </c>
      <c r="C71" s="273">
        <f>IF(A71&lt;&gt;"",""&amp;DATA_KO!H66&amp;"_KO","")</f>
        <v/>
      </c>
      <c r="D71" s="273">
        <f>IF(A71&lt;&gt;"","Candidate: "&amp;DATA_KO!B66,"")</f>
        <v/>
      </c>
      <c r="E71" s="273">
        <f>IF(A71&lt;&gt;"","EO: "&amp;DATA_KO!Q66&amp;", IO: "&amp;DATA_KO!R66,"")</f>
        <v/>
      </c>
      <c r="F71" s="273">
        <f>IF(A71&lt;&gt;"",""&amp;DATA_KO!C66,"")</f>
        <v/>
      </c>
      <c r="G71" s="274">
        <f>IF(A71&lt;&gt;"",DATA_KO!G66,"")</f>
        <v/>
      </c>
      <c r="H71" s="273">
        <f>IF(A71&lt;&gt;"",""&amp;DATA_KO!H66,"")</f>
        <v/>
      </c>
      <c r="I71" s="273">
        <f>IF(A71&lt;&gt;"",""&amp;DATA_KO!I66,"")</f>
        <v/>
      </c>
      <c r="J71" s="275">
        <f>IF(A71&lt;&gt;"","➔ Inspect Item","")</f>
        <v/>
      </c>
    </row>
    <row r="72" ht="15.75" customHeight="1" s="132">
      <c r="A72" s="273">
        <f>IF(DATA_KO!A67&lt;&gt;"","Q-"&amp;TEXT(66,"000"),"")</f>
        <v/>
      </c>
      <c r="B72" s="273">
        <f>IF(DATA_KO!A67&lt;&gt;"",""&amp;DATA_KO!A67,"")</f>
        <v/>
      </c>
      <c r="C72" s="273">
        <f>IF(A72&lt;&gt;"",""&amp;DATA_KO!H67&amp;"_KO","")</f>
        <v/>
      </c>
      <c r="D72" s="273">
        <f>IF(A72&lt;&gt;"","Candidate: "&amp;DATA_KO!B67,"")</f>
        <v/>
      </c>
      <c r="E72" s="273">
        <f>IF(A72&lt;&gt;"","EO: "&amp;DATA_KO!Q67&amp;", IO: "&amp;DATA_KO!R67,"")</f>
        <v/>
      </c>
      <c r="F72" s="273">
        <f>IF(A72&lt;&gt;"",""&amp;DATA_KO!C67,"")</f>
        <v/>
      </c>
      <c r="G72" s="274">
        <f>IF(A72&lt;&gt;"",DATA_KO!G67,"")</f>
        <v/>
      </c>
      <c r="H72" s="273">
        <f>IF(A72&lt;&gt;"",""&amp;DATA_KO!H67,"")</f>
        <v/>
      </c>
      <c r="I72" s="273">
        <f>IF(A72&lt;&gt;"",""&amp;DATA_KO!I67,"")</f>
        <v/>
      </c>
      <c r="J72" s="275">
        <f>IF(A72&lt;&gt;"","➔ Inspect Item","")</f>
        <v/>
      </c>
    </row>
    <row r="73" ht="15.75" customHeight="1" s="132">
      <c r="A73" s="273">
        <f>IF(DATA_KO!A68&lt;&gt;"","Q-"&amp;TEXT(67,"000"),"")</f>
        <v/>
      </c>
      <c r="B73" s="273">
        <f>IF(DATA_KO!A68&lt;&gt;"",""&amp;DATA_KO!A68,"")</f>
        <v/>
      </c>
      <c r="C73" s="273">
        <f>IF(A73&lt;&gt;"",""&amp;DATA_KO!H68&amp;"_KO","")</f>
        <v/>
      </c>
      <c r="D73" s="273">
        <f>IF(A73&lt;&gt;"","Candidate: "&amp;DATA_KO!B68,"")</f>
        <v/>
      </c>
      <c r="E73" s="273">
        <f>IF(A73&lt;&gt;"","EO: "&amp;DATA_KO!Q68&amp;", IO: "&amp;DATA_KO!R68,"")</f>
        <v/>
      </c>
      <c r="F73" s="273">
        <f>IF(A73&lt;&gt;"",""&amp;DATA_KO!C68,"")</f>
        <v/>
      </c>
      <c r="G73" s="274">
        <f>IF(A73&lt;&gt;"",DATA_KO!G68,"")</f>
        <v/>
      </c>
      <c r="H73" s="273">
        <f>IF(A73&lt;&gt;"",""&amp;DATA_KO!H68,"")</f>
        <v/>
      </c>
      <c r="I73" s="273">
        <f>IF(A73&lt;&gt;"",""&amp;DATA_KO!I68,"")</f>
        <v/>
      </c>
      <c r="J73" s="275">
        <f>IF(A73&lt;&gt;"","➔ Inspect Item","")</f>
        <v/>
      </c>
    </row>
    <row r="74" ht="15.75" customHeight="1" s="132">
      <c r="A74" s="273">
        <f>IF(DATA_KO!A69&lt;&gt;"","Q-"&amp;TEXT(68,"000"),"")</f>
        <v/>
      </c>
      <c r="B74" s="273">
        <f>IF(DATA_KO!A69&lt;&gt;"",""&amp;DATA_KO!A69,"")</f>
        <v/>
      </c>
      <c r="C74" s="273">
        <f>IF(A74&lt;&gt;"",""&amp;DATA_KO!H69&amp;"_KO","")</f>
        <v/>
      </c>
      <c r="D74" s="273">
        <f>IF(A74&lt;&gt;"","Candidate: "&amp;DATA_KO!B69,"")</f>
        <v/>
      </c>
      <c r="E74" s="273">
        <f>IF(A74&lt;&gt;"","EO: "&amp;DATA_KO!Q69&amp;", IO: "&amp;DATA_KO!R69,"")</f>
        <v/>
      </c>
      <c r="F74" s="273">
        <f>IF(A74&lt;&gt;"",""&amp;DATA_KO!C69,"")</f>
        <v/>
      </c>
      <c r="G74" s="274">
        <f>IF(A74&lt;&gt;"",DATA_KO!G69,"")</f>
        <v/>
      </c>
      <c r="H74" s="273">
        <f>IF(A74&lt;&gt;"",""&amp;DATA_KO!H69,"")</f>
        <v/>
      </c>
      <c r="I74" s="273">
        <f>IF(A74&lt;&gt;"",""&amp;DATA_KO!I69,"")</f>
        <v/>
      </c>
      <c r="J74" s="275">
        <f>IF(A74&lt;&gt;"","➔ Inspect Item","")</f>
        <v/>
      </c>
    </row>
    <row r="75" ht="15.75" customHeight="1" s="132">
      <c r="A75" s="273">
        <f>IF(DATA_KO!A70&lt;&gt;"","Q-"&amp;TEXT(69,"000"),"")</f>
        <v/>
      </c>
      <c r="B75" s="273">
        <f>IF(DATA_KO!A70&lt;&gt;"",""&amp;DATA_KO!A70,"")</f>
        <v/>
      </c>
      <c r="C75" s="273">
        <f>IF(A75&lt;&gt;"",""&amp;DATA_KO!H70&amp;"_KO","")</f>
        <v/>
      </c>
      <c r="D75" s="273">
        <f>IF(A75&lt;&gt;"","Candidate: "&amp;DATA_KO!B70,"")</f>
        <v/>
      </c>
      <c r="E75" s="273">
        <f>IF(A75&lt;&gt;"","EO: "&amp;DATA_KO!Q70&amp;", IO: "&amp;DATA_KO!R70,"")</f>
        <v/>
      </c>
      <c r="F75" s="273">
        <f>IF(A75&lt;&gt;"",""&amp;DATA_KO!C70,"")</f>
        <v/>
      </c>
      <c r="G75" s="274">
        <f>IF(A75&lt;&gt;"",DATA_KO!G70,"")</f>
        <v/>
      </c>
      <c r="H75" s="273">
        <f>IF(A75&lt;&gt;"",""&amp;DATA_KO!H70,"")</f>
        <v/>
      </c>
      <c r="I75" s="273">
        <f>IF(A75&lt;&gt;"",""&amp;DATA_KO!I70,"")</f>
        <v/>
      </c>
      <c r="J75" s="275">
        <f>IF(A75&lt;&gt;"","➔ Inspect Item","")</f>
        <v/>
      </c>
    </row>
    <row r="76" ht="15.75" customHeight="1" s="132">
      <c r="A76" s="273">
        <f>IF(DATA_KO!A71&lt;&gt;"","Q-"&amp;TEXT(70,"000"),"")</f>
        <v/>
      </c>
      <c r="B76" s="273">
        <f>IF(DATA_KO!A71&lt;&gt;"",""&amp;DATA_KO!A71,"")</f>
        <v/>
      </c>
      <c r="C76" s="273">
        <f>IF(A76&lt;&gt;"",""&amp;DATA_KO!H71&amp;"_KO","")</f>
        <v/>
      </c>
      <c r="D76" s="273">
        <f>IF(A76&lt;&gt;"","Candidate: "&amp;DATA_KO!B71,"")</f>
        <v/>
      </c>
      <c r="E76" s="273">
        <f>IF(A76&lt;&gt;"","EO: "&amp;DATA_KO!Q71&amp;", IO: "&amp;DATA_KO!R71,"")</f>
        <v/>
      </c>
      <c r="F76" s="273">
        <f>IF(A76&lt;&gt;"",""&amp;DATA_KO!C71,"")</f>
        <v/>
      </c>
      <c r="G76" s="274">
        <f>IF(A76&lt;&gt;"",DATA_KO!G71,"")</f>
        <v/>
      </c>
      <c r="H76" s="273">
        <f>IF(A76&lt;&gt;"",""&amp;DATA_KO!H71,"")</f>
        <v/>
      </c>
      <c r="I76" s="273">
        <f>IF(A76&lt;&gt;"",""&amp;DATA_KO!I71,"")</f>
        <v/>
      </c>
      <c r="J76" s="275">
        <f>IF(A76&lt;&gt;"","➔ Inspect Item","")</f>
        <v/>
      </c>
    </row>
    <row r="77" ht="15.75" customHeight="1" s="132">
      <c r="A77" s="273">
        <f>IF(DATA_KO!A72&lt;&gt;"","Q-"&amp;TEXT(71,"000"),"")</f>
        <v/>
      </c>
      <c r="B77" s="273">
        <f>IF(DATA_KO!A72&lt;&gt;"",""&amp;DATA_KO!A72,"")</f>
        <v/>
      </c>
      <c r="C77" s="273">
        <f>IF(A77&lt;&gt;"",""&amp;DATA_KO!H72&amp;"_KO","")</f>
        <v/>
      </c>
      <c r="D77" s="273">
        <f>IF(A77&lt;&gt;"","Candidate: "&amp;DATA_KO!B72,"")</f>
        <v/>
      </c>
      <c r="E77" s="273">
        <f>IF(A77&lt;&gt;"","EO: "&amp;DATA_KO!Q72&amp;", IO: "&amp;DATA_KO!R72,"")</f>
        <v/>
      </c>
      <c r="F77" s="273">
        <f>IF(A77&lt;&gt;"",""&amp;DATA_KO!C72,"")</f>
        <v/>
      </c>
      <c r="G77" s="274">
        <f>IF(A77&lt;&gt;"",DATA_KO!G72,"")</f>
        <v/>
      </c>
      <c r="H77" s="273">
        <f>IF(A77&lt;&gt;"",""&amp;DATA_KO!H72,"")</f>
        <v/>
      </c>
      <c r="I77" s="273">
        <f>IF(A77&lt;&gt;"",""&amp;DATA_KO!I72,"")</f>
        <v/>
      </c>
      <c r="J77" s="275">
        <f>IF(A77&lt;&gt;"","➔ Inspect Item","")</f>
        <v/>
      </c>
    </row>
    <row r="78" ht="15.75" customHeight="1" s="132">
      <c r="A78" s="273">
        <f>IF(DATA_KO!A73&lt;&gt;"","Q-"&amp;TEXT(72,"000"),"")</f>
        <v/>
      </c>
      <c r="B78" s="273">
        <f>IF(DATA_KO!A73&lt;&gt;"",""&amp;DATA_KO!A73,"")</f>
        <v/>
      </c>
      <c r="C78" s="273">
        <f>IF(A78&lt;&gt;"",""&amp;DATA_KO!H73&amp;"_KO","")</f>
        <v/>
      </c>
      <c r="D78" s="273">
        <f>IF(A78&lt;&gt;"","Candidate: "&amp;DATA_KO!B73,"")</f>
        <v/>
      </c>
      <c r="E78" s="273">
        <f>IF(A78&lt;&gt;"","EO: "&amp;DATA_KO!Q73&amp;", IO: "&amp;DATA_KO!R73,"")</f>
        <v/>
      </c>
      <c r="F78" s="273">
        <f>IF(A78&lt;&gt;"",""&amp;DATA_KO!C73,"")</f>
        <v/>
      </c>
      <c r="G78" s="274">
        <f>IF(A78&lt;&gt;"",DATA_KO!G73,"")</f>
        <v/>
      </c>
      <c r="H78" s="273">
        <f>IF(A78&lt;&gt;"",""&amp;DATA_KO!H73,"")</f>
        <v/>
      </c>
      <c r="I78" s="273">
        <f>IF(A78&lt;&gt;"",""&amp;DATA_KO!I73,"")</f>
        <v/>
      </c>
      <c r="J78" s="275">
        <f>IF(A78&lt;&gt;"","➔ Inspect Item","")</f>
        <v/>
      </c>
    </row>
    <row r="79" ht="15.75" customHeight="1" s="132">
      <c r="A79" s="273">
        <f>IF(DATA_KO!A74&lt;&gt;"","Q-"&amp;TEXT(73,"000"),"")</f>
        <v/>
      </c>
      <c r="B79" s="273">
        <f>IF(DATA_KO!A74&lt;&gt;"",""&amp;DATA_KO!A74,"")</f>
        <v/>
      </c>
      <c r="C79" s="273">
        <f>IF(A79&lt;&gt;"",""&amp;DATA_KO!H74&amp;"_KO","")</f>
        <v/>
      </c>
      <c r="D79" s="273">
        <f>IF(A79&lt;&gt;"","Candidate: "&amp;DATA_KO!B74,"")</f>
        <v/>
      </c>
      <c r="E79" s="273">
        <f>IF(A79&lt;&gt;"","EO: "&amp;DATA_KO!Q74&amp;", IO: "&amp;DATA_KO!R74,"")</f>
        <v/>
      </c>
      <c r="F79" s="273">
        <f>IF(A79&lt;&gt;"",""&amp;DATA_KO!C74,"")</f>
        <v/>
      </c>
      <c r="G79" s="274">
        <f>IF(A79&lt;&gt;"",DATA_KO!G74,"")</f>
        <v/>
      </c>
      <c r="H79" s="273">
        <f>IF(A79&lt;&gt;"",""&amp;DATA_KO!H74,"")</f>
        <v/>
      </c>
      <c r="I79" s="273">
        <f>IF(A79&lt;&gt;"",""&amp;DATA_KO!I74,"")</f>
        <v/>
      </c>
      <c r="J79" s="275">
        <f>IF(A79&lt;&gt;"","➔ Inspect Item","")</f>
        <v/>
      </c>
    </row>
    <row r="80" ht="15.75" customHeight="1" s="132">
      <c r="A80" s="273">
        <f>IF(DATA_KO!A75&lt;&gt;"","Q-"&amp;TEXT(74,"000"),"")</f>
        <v/>
      </c>
      <c r="B80" s="273">
        <f>IF(DATA_KO!A75&lt;&gt;"",""&amp;DATA_KO!A75,"")</f>
        <v/>
      </c>
      <c r="C80" s="273">
        <f>IF(A80&lt;&gt;"",""&amp;DATA_KO!H75&amp;"_KO","")</f>
        <v/>
      </c>
      <c r="D80" s="273">
        <f>IF(A80&lt;&gt;"","Candidate: "&amp;DATA_KO!B75,"")</f>
        <v/>
      </c>
      <c r="E80" s="273">
        <f>IF(A80&lt;&gt;"","EO: "&amp;DATA_KO!Q75&amp;", IO: "&amp;DATA_KO!R75,"")</f>
        <v/>
      </c>
      <c r="F80" s="273">
        <f>IF(A80&lt;&gt;"",""&amp;DATA_KO!C75,"")</f>
        <v/>
      </c>
      <c r="G80" s="274">
        <f>IF(A80&lt;&gt;"",DATA_KO!G75,"")</f>
        <v/>
      </c>
      <c r="H80" s="273">
        <f>IF(A80&lt;&gt;"",""&amp;DATA_KO!H75,"")</f>
        <v/>
      </c>
      <c r="I80" s="273">
        <f>IF(A80&lt;&gt;"",""&amp;DATA_KO!I75,"")</f>
        <v/>
      </c>
      <c r="J80" s="275">
        <f>IF(A80&lt;&gt;"","➔ Inspect Item","")</f>
        <v/>
      </c>
    </row>
    <row r="81" ht="15.75" customHeight="1" s="132">
      <c r="A81" s="273">
        <f>IF(DATA_KO!A76&lt;&gt;"","Q-"&amp;TEXT(75,"000"),"")</f>
        <v/>
      </c>
      <c r="B81" s="273">
        <f>IF(DATA_KO!A76&lt;&gt;"",""&amp;DATA_KO!A76,"")</f>
        <v/>
      </c>
      <c r="C81" s="273">
        <f>IF(A81&lt;&gt;"",""&amp;DATA_KO!H76&amp;"_KO","")</f>
        <v/>
      </c>
      <c r="D81" s="273">
        <f>IF(A81&lt;&gt;"","Candidate: "&amp;DATA_KO!B76,"")</f>
        <v/>
      </c>
      <c r="E81" s="273">
        <f>IF(A81&lt;&gt;"","EO: "&amp;DATA_KO!Q76&amp;", IO: "&amp;DATA_KO!R76,"")</f>
        <v/>
      </c>
      <c r="F81" s="273">
        <f>IF(A81&lt;&gt;"",""&amp;DATA_KO!C76,"")</f>
        <v/>
      </c>
      <c r="G81" s="274">
        <f>IF(A81&lt;&gt;"",DATA_KO!G76,"")</f>
        <v/>
      </c>
      <c r="H81" s="273">
        <f>IF(A81&lt;&gt;"",""&amp;DATA_KO!H76,"")</f>
        <v/>
      </c>
      <c r="I81" s="273">
        <f>IF(A81&lt;&gt;"",""&amp;DATA_KO!I76,"")</f>
        <v/>
      </c>
      <c r="J81" s="275">
        <f>IF(A81&lt;&gt;"","➔ Inspect Item","")</f>
        <v/>
      </c>
    </row>
    <row r="82" ht="15.75" customHeight="1" s="132">
      <c r="A82" s="273">
        <f>IF(DATA_KO!A77&lt;&gt;"","Q-"&amp;TEXT(76,"000"),"")</f>
        <v/>
      </c>
      <c r="B82" s="273">
        <f>IF(DATA_KO!A77&lt;&gt;"",""&amp;DATA_KO!A77,"")</f>
        <v/>
      </c>
      <c r="C82" s="273">
        <f>IF(A82&lt;&gt;"",""&amp;DATA_KO!H77&amp;"_KO","")</f>
        <v/>
      </c>
      <c r="D82" s="273">
        <f>IF(A82&lt;&gt;"","Candidate: "&amp;DATA_KO!B77,"")</f>
        <v/>
      </c>
      <c r="E82" s="273">
        <f>IF(A82&lt;&gt;"","EO: "&amp;DATA_KO!Q77&amp;", IO: "&amp;DATA_KO!R77,"")</f>
        <v/>
      </c>
      <c r="F82" s="273">
        <f>IF(A82&lt;&gt;"",""&amp;DATA_KO!C77,"")</f>
        <v/>
      </c>
      <c r="G82" s="274">
        <f>IF(A82&lt;&gt;"",DATA_KO!G77,"")</f>
        <v/>
      </c>
      <c r="H82" s="273">
        <f>IF(A82&lt;&gt;"",""&amp;DATA_KO!H77,"")</f>
        <v/>
      </c>
      <c r="I82" s="273">
        <f>IF(A82&lt;&gt;"",""&amp;DATA_KO!I77,"")</f>
        <v/>
      </c>
      <c r="J82" s="275">
        <f>IF(A82&lt;&gt;"","➔ Inspect Item","")</f>
        <v/>
      </c>
    </row>
    <row r="83" ht="15.75" customHeight="1" s="132">
      <c r="A83" s="273">
        <f>IF(DATA_KO!A78&lt;&gt;"","Q-"&amp;TEXT(77,"000"),"")</f>
        <v/>
      </c>
      <c r="B83" s="273">
        <f>IF(DATA_KO!A78&lt;&gt;"",""&amp;DATA_KO!A78,"")</f>
        <v/>
      </c>
      <c r="C83" s="273">
        <f>IF(A83&lt;&gt;"",""&amp;DATA_KO!H78&amp;"_KO","")</f>
        <v/>
      </c>
      <c r="D83" s="273">
        <f>IF(A83&lt;&gt;"","Candidate: "&amp;DATA_KO!B78,"")</f>
        <v/>
      </c>
      <c r="E83" s="273">
        <f>IF(A83&lt;&gt;"","EO: "&amp;DATA_KO!Q78&amp;", IO: "&amp;DATA_KO!R78,"")</f>
        <v/>
      </c>
      <c r="F83" s="273">
        <f>IF(A83&lt;&gt;"",""&amp;DATA_KO!C78,"")</f>
        <v/>
      </c>
      <c r="G83" s="274">
        <f>IF(A83&lt;&gt;"",DATA_KO!G78,"")</f>
        <v/>
      </c>
      <c r="H83" s="273">
        <f>IF(A83&lt;&gt;"",""&amp;DATA_KO!H78,"")</f>
        <v/>
      </c>
      <c r="I83" s="273">
        <f>IF(A83&lt;&gt;"",""&amp;DATA_KO!I78,"")</f>
        <v/>
      </c>
      <c r="J83" s="275">
        <f>IF(A83&lt;&gt;"","➔ Inspect Item","")</f>
        <v/>
      </c>
    </row>
    <row r="84" ht="15.75" customHeight="1" s="132">
      <c r="A84" s="273">
        <f>IF(DATA_KO!A79&lt;&gt;"","Q-"&amp;TEXT(78,"000"),"")</f>
        <v/>
      </c>
      <c r="B84" s="273">
        <f>IF(DATA_KO!A79&lt;&gt;"",""&amp;DATA_KO!A79,"")</f>
        <v/>
      </c>
      <c r="C84" s="273">
        <f>IF(A84&lt;&gt;"",""&amp;DATA_KO!H79&amp;"_KO","")</f>
        <v/>
      </c>
      <c r="D84" s="273">
        <f>IF(A84&lt;&gt;"","Candidate: "&amp;DATA_KO!B79,"")</f>
        <v/>
      </c>
      <c r="E84" s="273">
        <f>IF(A84&lt;&gt;"","EO: "&amp;DATA_KO!Q79&amp;", IO: "&amp;DATA_KO!R79,"")</f>
        <v/>
      </c>
      <c r="F84" s="273">
        <f>IF(A84&lt;&gt;"",""&amp;DATA_KO!C79,"")</f>
        <v/>
      </c>
      <c r="G84" s="274">
        <f>IF(A84&lt;&gt;"",DATA_KO!G79,"")</f>
        <v/>
      </c>
      <c r="H84" s="273">
        <f>IF(A84&lt;&gt;"",""&amp;DATA_KO!H79,"")</f>
        <v/>
      </c>
      <c r="I84" s="273">
        <f>IF(A84&lt;&gt;"",""&amp;DATA_KO!I79,"")</f>
        <v/>
      </c>
      <c r="J84" s="275">
        <f>IF(A84&lt;&gt;"","➔ Inspect Item","")</f>
        <v/>
      </c>
    </row>
    <row r="85" ht="15.75" customHeight="1" s="132">
      <c r="A85" s="273">
        <f>IF(DATA_KO!A80&lt;&gt;"","Q-"&amp;TEXT(79,"000"),"")</f>
        <v/>
      </c>
      <c r="B85" s="273">
        <f>IF(DATA_KO!A80&lt;&gt;"",""&amp;DATA_KO!A80,"")</f>
        <v/>
      </c>
      <c r="C85" s="273">
        <f>IF(A85&lt;&gt;"",""&amp;DATA_KO!H80&amp;"_KO","")</f>
        <v/>
      </c>
      <c r="D85" s="273">
        <f>IF(A85&lt;&gt;"","Candidate: "&amp;DATA_KO!B80,"")</f>
        <v/>
      </c>
      <c r="E85" s="273">
        <f>IF(A85&lt;&gt;"","EO: "&amp;DATA_KO!Q80&amp;", IO: "&amp;DATA_KO!R80,"")</f>
        <v/>
      </c>
      <c r="F85" s="273">
        <f>IF(A85&lt;&gt;"",""&amp;DATA_KO!C80,"")</f>
        <v/>
      </c>
      <c r="G85" s="274">
        <f>IF(A85&lt;&gt;"",DATA_KO!G80,"")</f>
        <v/>
      </c>
      <c r="H85" s="273">
        <f>IF(A85&lt;&gt;"",""&amp;DATA_KO!H80,"")</f>
        <v/>
      </c>
      <c r="I85" s="273">
        <f>IF(A85&lt;&gt;"",""&amp;DATA_KO!I80,"")</f>
        <v/>
      </c>
      <c r="J85" s="275">
        <f>IF(A85&lt;&gt;"","➔ Inspect Item","")</f>
        <v/>
      </c>
    </row>
    <row r="86" ht="15.75" customHeight="1" s="132">
      <c r="A86" s="273">
        <f>IF(DATA_KO!A81&lt;&gt;"","Q-"&amp;TEXT(80,"000"),"")</f>
        <v/>
      </c>
      <c r="B86" s="273">
        <f>IF(DATA_KO!A81&lt;&gt;"",""&amp;DATA_KO!A81,"")</f>
        <v/>
      </c>
      <c r="C86" s="273">
        <f>IF(A86&lt;&gt;"",""&amp;DATA_KO!H81&amp;"_KO","")</f>
        <v/>
      </c>
      <c r="D86" s="273">
        <f>IF(A86&lt;&gt;"","Candidate: "&amp;DATA_KO!B81,"")</f>
        <v/>
      </c>
      <c r="E86" s="273">
        <f>IF(A86&lt;&gt;"","EO: "&amp;DATA_KO!Q81&amp;", IO: "&amp;DATA_KO!R81,"")</f>
        <v/>
      </c>
      <c r="F86" s="273">
        <f>IF(A86&lt;&gt;"",""&amp;DATA_KO!C81,"")</f>
        <v/>
      </c>
      <c r="G86" s="274">
        <f>IF(A86&lt;&gt;"",DATA_KO!G81,"")</f>
        <v/>
      </c>
      <c r="H86" s="273">
        <f>IF(A86&lt;&gt;"",""&amp;DATA_KO!H81,"")</f>
        <v/>
      </c>
      <c r="I86" s="273">
        <f>IF(A86&lt;&gt;"",""&amp;DATA_KO!I81,"")</f>
        <v/>
      </c>
      <c r="J86" s="275">
        <f>IF(A86&lt;&gt;"","➔ Inspect Item","")</f>
        <v/>
      </c>
    </row>
    <row r="87" ht="15.75" customHeight="1" s="132">
      <c r="A87" s="273">
        <f>IF(DATA_KO!A82&lt;&gt;"","Q-"&amp;TEXT(81,"000"),"")</f>
        <v/>
      </c>
      <c r="B87" s="273">
        <f>IF(DATA_KO!A82&lt;&gt;"",""&amp;DATA_KO!A82,"")</f>
        <v/>
      </c>
      <c r="C87" s="273">
        <f>IF(A87&lt;&gt;"",""&amp;DATA_KO!H82&amp;"_KO","")</f>
        <v/>
      </c>
      <c r="D87" s="273">
        <f>IF(A87&lt;&gt;"","Candidate: "&amp;DATA_KO!B82,"")</f>
        <v/>
      </c>
      <c r="E87" s="273">
        <f>IF(A87&lt;&gt;"","EO: "&amp;DATA_KO!Q82&amp;", IO: "&amp;DATA_KO!R82,"")</f>
        <v/>
      </c>
      <c r="F87" s="273">
        <f>IF(A87&lt;&gt;"",""&amp;DATA_KO!C82,"")</f>
        <v/>
      </c>
      <c r="G87" s="274">
        <f>IF(A87&lt;&gt;"",DATA_KO!G82,"")</f>
        <v/>
      </c>
      <c r="H87" s="273">
        <f>IF(A87&lt;&gt;"",""&amp;DATA_KO!H82,"")</f>
        <v/>
      </c>
      <c r="I87" s="273">
        <f>IF(A87&lt;&gt;"",""&amp;DATA_KO!I82,"")</f>
        <v/>
      </c>
      <c r="J87" s="275">
        <f>IF(A87&lt;&gt;"","➔ Inspect Item","")</f>
        <v/>
      </c>
    </row>
    <row r="88" ht="15.75" customHeight="1" s="132">
      <c r="A88" s="273">
        <f>IF(DATA_KO!A83&lt;&gt;"","Q-"&amp;TEXT(82,"000"),"")</f>
        <v/>
      </c>
      <c r="B88" s="273">
        <f>IF(DATA_KO!A83&lt;&gt;"",""&amp;DATA_KO!A83,"")</f>
        <v/>
      </c>
      <c r="C88" s="273">
        <f>IF(A88&lt;&gt;"",""&amp;DATA_KO!H83&amp;"_KO","")</f>
        <v/>
      </c>
      <c r="D88" s="273">
        <f>IF(A88&lt;&gt;"","Candidate: "&amp;DATA_KO!B83,"")</f>
        <v/>
      </c>
      <c r="E88" s="273">
        <f>IF(A88&lt;&gt;"","EO: "&amp;DATA_KO!Q83&amp;", IO: "&amp;DATA_KO!R83,"")</f>
        <v/>
      </c>
      <c r="F88" s="273">
        <f>IF(A88&lt;&gt;"",""&amp;DATA_KO!C83,"")</f>
        <v/>
      </c>
      <c r="G88" s="274">
        <f>IF(A88&lt;&gt;"",DATA_KO!G83,"")</f>
        <v/>
      </c>
      <c r="H88" s="273">
        <f>IF(A88&lt;&gt;"",""&amp;DATA_KO!H83,"")</f>
        <v/>
      </c>
      <c r="I88" s="273">
        <f>IF(A88&lt;&gt;"",""&amp;DATA_KO!I83,"")</f>
        <v/>
      </c>
      <c r="J88" s="275">
        <f>IF(A88&lt;&gt;"","➔ Inspect Item","")</f>
        <v/>
      </c>
    </row>
    <row r="89" ht="15.75" customHeight="1" s="132">
      <c r="A89" s="273">
        <f>IF(DATA_KO!A84&lt;&gt;"","Q-"&amp;TEXT(83,"000"),"")</f>
        <v/>
      </c>
      <c r="B89" s="273">
        <f>IF(DATA_KO!A84&lt;&gt;"",""&amp;DATA_KO!A84,"")</f>
        <v/>
      </c>
      <c r="C89" s="273">
        <f>IF(A89&lt;&gt;"",""&amp;DATA_KO!H84&amp;"_KO","")</f>
        <v/>
      </c>
      <c r="D89" s="273">
        <f>IF(A89&lt;&gt;"","Candidate: "&amp;DATA_KO!B84,"")</f>
        <v/>
      </c>
      <c r="E89" s="273">
        <f>IF(A89&lt;&gt;"","EO: "&amp;DATA_KO!Q84&amp;", IO: "&amp;DATA_KO!R84,"")</f>
        <v/>
      </c>
      <c r="F89" s="273">
        <f>IF(A89&lt;&gt;"",""&amp;DATA_KO!C84,"")</f>
        <v/>
      </c>
      <c r="G89" s="274">
        <f>IF(A89&lt;&gt;"",DATA_KO!G84,"")</f>
        <v/>
      </c>
      <c r="H89" s="273">
        <f>IF(A89&lt;&gt;"",""&amp;DATA_KO!H84,"")</f>
        <v/>
      </c>
      <c r="I89" s="273">
        <f>IF(A89&lt;&gt;"",""&amp;DATA_KO!I84,"")</f>
        <v/>
      </c>
      <c r="J89" s="275">
        <f>IF(A89&lt;&gt;"","➔ Inspect Item","")</f>
        <v/>
      </c>
    </row>
    <row r="90" ht="15.75" customHeight="1" s="132">
      <c r="A90" s="273">
        <f>IF(DATA_KO!A85&lt;&gt;"","Q-"&amp;TEXT(84,"000"),"")</f>
        <v/>
      </c>
      <c r="B90" s="273">
        <f>IF(DATA_KO!A85&lt;&gt;"",""&amp;DATA_KO!A85,"")</f>
        <v/>
      </c>
      <c r="C90" s="273">
        <f>IF(A90&lt;&gt;"",""&amp;DATA_KO!H85&amp;"_KO","")</f>
        <v/>
      </c>
      <c r="D90" s="273">
        <f>IF(A90&lt;&gt;"","Candidate: "&amp;DATA_KO!B85,"")</f>
        <v/>
      </c>
      <c r="E90" s="273">
        <f>IF(A90&lt;&gt;"","EO: "&amp;DATA_KO!Q85&amp;", IO: "&amp;DATA_KO!R85,"")</f>
        <v/>
      </c>
      <c r="F90" s="273">
        <f>IF(A90&lt;&gt;"",""&amp;DATA_KO!C85,"")</f>
        <v/>
      </c>
      <c r="G90" s="274">
        <f>IF(A90&lt;&gt;"",DATA_KO!G85,"")</f>
        <v/>
      </c>
      <c r="H90" s="273">
        <f>IF(A90&lt;&gt;"",""&amp;DATA_KO!H85,"")</f>
        <v/>
      </c>
      <c r="I90" s="273">
        <f>IF(A90&lt;&gt;"",""&amp;DATA_KO!I85,"")</f>
        <v/>
      </c>
      <c r="J90" s="275">
        <f>IF(A90&lt;&gt;"","➔ Inspect Item","")</f>
        <v/>
      </c>
    </row>
    <row r="91" ht="15.75" customHeight="1" s="132">
      <c r="A91" s="273">
        <f>IF(DATA_KO!A86&lt;&gt;"","Q-"&amp;TEXT(85,"000"),"")</f>
        <v/>
      </c>
      <c r="B91" s="273">
        <f>IF(DATA_KO!A86&lt;&gt;"",""&amp;DATA_KO!A86,"")</f>
        <v/>
      </c>
      <c r="C91" s="273">
        <f>IF(A91&lt;&gt;"",""&amp;DATA_KO!H86&amp;"_KO","")</f>
        <v/>
      </c>
      <c r="D91" s="273">
        <f>IF(A91&lt;&gt;"","Candidate: "&amp;DATA_KO!B86,"")</f>
        <v/>
      </c>
      <c r="E91" s="273">
        <f>IF(A91&lt;&gt;"","EO: "&amp;DATA_KO!Q86&amp;", IO: "&amp;DATA_KO!R86,"")</f>
        <v/>
      </c>
      <c r="F91" s="273">
        <f>IF(A91&lt;&gt;"",""&amp;DATA_KO!C86,"")</f>
        <v/>
      </c>
      <c r="G91" s="274">
        <f>IF(A91&lt;&gt;"",DATA_KO!G86,"")</f>
        <v/>
      </c>
      <c r="H91" s="273">
        <f>IF(A91&lt;&gt;"",""&amp;DATA_KO!H86,"")</f>
        <v/>
      </c>
      <c r="I91" s="273">
        <f>IF(A91&lt;&gt;"",""&amp;DATA_KO!I86,"")</f>
        <v/>
      </c>
      <c r="J91" s="275">
        <f>IF(A91&lt;&gt;"","➔ Inspect Item","")</f>
        <v/>
      </c>
    </row>
    <row r="92" ht="15.75" customHeight="1" s="132">
      <c r="A92" s="273">
        <f>IF(DATA_KO!A87&lt;&gt;"","Q-"&amp;TEXT(86,"000"),"")</f>
        <v/>
      </c>
      <c r="B92" s="273">
        <f>IF(DATA_KO!A87&lt;&gt;"",""&amp;DATA_KO!A87,"")</f>
        <v/>
      </c>
      <c r="C92" s="273">
        <f>IF(A92&lt;&gt;"",""&amp;DATA_KO!H87&amp;"_KO","")</f>
        <v/>
      </c>
      <c r="D92" s="273">
        <f>IF(A92&lt;&gt;"","Candidate: "&amp;DATA_KO!B87,"")</f>
        <v/>
      </c>
      <c r="E92" s="273">
        <f>IF(A92&lt;&gt;"","EO: "&amp;DATA_KO!Q87&amp;", IO: "&amp;DATA_KO!R87,"")</f>
        <v/>
      </c>
      <c r="F92" s="273">
        <f>IF(A92&lt;&gt;"",""&amp;DATA_KO!C87,"")</f>
        <v/>
      </c>
      <c r="G92" s="274">
        <f>IF(A92&lt;&gt;"",DATA_KO!G87,"")</f>
        <v/>
      </c>
      <c r="H92" s="273">
        <f>IF(A92&lt;&gt;"",""&amp;DATA_KO!H87,"")</f>
        <v/>
      </c>
      <c r="I92" s="273">
        <f>IF(A92&lt;&gt;"",""&amp;DATA_KO!I87,"")</f>
        <v/>
      </c>
      <c r="J92" s="275">
        <f>IF(A92&lt;&gt;"","➔ Inspect Item","")</f>
        <v/>
      </c>
    </row>
    <row r="93" ht="15.75" customHeight="1" s="132">
      <c r="A93" s="273">
        <f>IF(DATA_KO!A88&lt;&gt;"","Q-"&amp;TEXT(87,"000"),"")</f>
        <v/>
      </c>
      <c r="B93" s="273">
        <f>IF(DATA_KO!A88&lt;&gt;"",""&amp;DATA_KO!A88,"")</f>
        <v/>
      </c>
      <c r="C93" s="273">
        <f>IF(A93&lt;&gt;"",""&amp;DATA_KO!H88&amp;"_KO","")</f>
        <v/>
      </c>
      <c r="D93" s="273">
        <f>IF(A93&lt;&gt;"","Candidate: "&amp;DATA_KO!B88,"")</f>
        <v/>
      </c>
      <c r="E93" s="273">
        <f>IF(A93&lt;&gt;"","EO: "&amp;DATA_KO!Q88&amp;", IO: "&amp;DATA_KO!R88,"")</f>
        <v/>
      </c>
      <c r="F93" s="273">
        <f>IF(A93&lt;&gt;"",""&amp;DATA_KO!C88,"")</f>
        <v/>
      </c>
      <c r="G93" s="274">
        <f>IF(A93&lt;&gt;"",DATA_KO!G88,"")</f>
        <v/>
      </c>
      <c r="H93" s="273">
        <f>IF(A93&lt;&gt;"",""&amp;DATA_KO!H88,"")</f>
        <v/>
      </c>
      <c r="I93" s="273">
        <f>IF(A93&lt;&gt;"",""&amp;DATA_KO!I88,"")</f>
        <v/>
      </c>
      <c r="J93" s="275">
        <f>IF(A93&lt;&gt;"","➔ Inspect Item","")</f>
        <v/>
      </c>
    </row>
    <row r="94" ht="15.75" customHeight="1" s="132">
      <c r="A94" s="273">
        <f>IF(DATA_KO!A89&lt;&gt;"","Q-"&amp;TEXT(88,"000"),"")</f>
        <v/>
      </c>
      <c r="B94" s="273">
        <f>IF(DATA_KO!A89&lt;&gt;"",""&amp;DATA_KO!A89,"")</f>
        <v/>
      </c>
      <c r="C94" s="273">
        <f>IF(A94&lt;&gt;"",""&amp;DATA_KO!H89&amp;"_KO","")</f>
        <v/>
      </c>
      <c r="D94" s="273">
        <f>IF(A94&lt;&gt;"","Candidate: "&amp;DATA_KO!B89,"")</f>
        <v/>
      </c>
      <c r="E94" s="273">
        <f>IF(A94&lt;&gt;"","EO: "&amp;DATA_KO!Q89&amp;", IO: "&amp;DATA_KO!R89,"")</f>
        <v/>
      </c>
      <c r="F94" s="273">
        <f>IF(A94&lt;&gt;"",""&amp;DATA_KO!C89,"")</f>
        <v/>
      </c>
      <c r="G94" s="274">
        <f>IF(A94&lt;&gt;"",DATA_KO!G89,"")</f>
        <v/>
      </c>
      <c r="H94" s="273">
        <f>IF(A94&lt;&gt;"",""&amp;DATA_KO!H89,"")</f>
        <v/>
      </c>
      <c r="I94" s="273">
        <f>IF(A94&lt;&gt;"",""&amp;DATA_KO!I89,"")</f>
        <v/>
      </c>
      <c r="J94" s="275">
        <f>IF(A94&lt;&gt;"","➔ Inspect Item","")</f>
        <v/>
      </c>
    </row>
    <row r="95" ht="15.75" customHeight="1" s="132">
      <c r="A95" s="273">
        <f>IF(DATA_KO!A90&lt;&gt;"","Q-"&amp;TEXT(89,"000"),"")</f>
        <v/>
      </c>
      <c r="B95" s="273">
        <f>IF(DATA_KO!A90&lt;&gt;"",""&amp;DATA_KO!A90,"")</f>
        <v/>
      </c>
      <c r="C95" s="273">
        <f>IF(A95&lt;&gt;"",""&amp;DATA_KO!H90&amp;"_KO","")</f>
        <v/>
      </c>
      <c r="D95" s="273">
        <f>IF(A95&lt;&gt;"","Candidate: "&amp;DATA_KO!B90,"")</f>
        <v/>
      </c>
      <c r="E95" s="273">
        <f>IF(A95&lt;&gt;"","EO: "&amp;DATA_KO!Q90&amp;", IO: "&amp;DATA_KO!R90,"")</f>
        <v/>
      </c>
      <c r="F95" s="273">
        <f>IF(A95&lt;&gt;"",""&amp;DATA_KO!C90,"")</f>
        <v/>
      </c>
      <c r="G95" s="274">
        <f>IF(A95&lt;&gt;"",DATA_KO!G90,"")</f>
        <v/>
      </c>
      <c r="H95" s="273">
        <f>IF(A95&lt;&gt;"",""&amp;DATA_KO!H90,"")</f>
        <v/>
      </c>
      <c r="I95" s="273">
        <f>IF(A95&lt;&gt;"",""&amp;DATA_KO!I90,"")</f>
        <v/>
      </c>
      <c r="J95" s="275">
        <f>IF(A95&lt;&gt;"","➔ Inspect Item","")</f>
        <v/>
      </c>
    </row>
    <row r="96" ht="15.75" customHeight="1" s="132">
      <c r="A96" s="273">
        <f>IF(DATA_KO!A91&lt;&gt;"","Q-"&amp;TEXT(90,"000"),"")</f>
        <v/>
      </c>
      <c r="B96" s="273">
        <f>IF(DATA_KO!A91&lt;&gt;"",""&amp;DATA_KO!A91,"")</f>
        <v/>
      </c>
      <c r="C96" s="273">
        <f>IF(A96&lt;&gt;"",""&amp;DATA_KO!H91&amp;"_KO","")</f>
        <v/>
      </c>
      <c r="D96" s="273">
        <f>IF(A96&lt;&gt;"","Candidate: "&amp;DATA_KO!B91,"")</f>
        <v/>
      </c>
      <c r="E96" s="273">
        <f>IF(A96&lt;&gt;"","EO: "&amp;DATA_KO!Q91&amp;", IO: "&amp;DATA_KO!R91,"")</f>
        <v/>
      </c>
      <c r="F96" s="273">
        <f>IF(A96&lt;&gt;"",""&amp;DATA_KO!C91,"")</f>
        <v/>
      </c>
      <c r="G96" s="274">
        <f>IF(A96&lt;&gt;"",DATA_KO!G91,"")</f>
        <v/>
      </c>
      <c r="H96" s="273">
        <f>IF(A96&lt;&gt;"",""&amp;DATA_KO!H91,"")</f>
        <v/>
      </c>
      <c r="I96" s="273">
        <f>IF(A96&lt;&gt;"",""&amp;DATA_KO!I91,"")</f>
        <v/>
      </c>
      <c r="J96" s="275">
        <f>IF(A96&lt;&gt;"","➔ Inspect Item","")</f>
        <v/>
      </c>
    </row>
    <row r="97" ht="15.75" customHeight="1" s="132">
      <c r="A97" s="273">
        <f>IF(DATA_KO!A92&lt;&gt;"","Q-"&amp;TEXT(91,"000"),"")</f>
        <v/>
      </c>
      <c r="B97" s="273">
        <f>IF(DATA_KO!A92&lt;&gt;"",""&amp;DATA_KO!A92,"")</f>
        <v/>
      </c>
      <c r="C97" s="273">
        <f>IF(A97&lt;&gt;"",""&amp;DATA_KO!H92&amp;"_KO","")</f>
        <v/>
      </c>
      <c r="D97" s="273">
        <f>IF(A97&lt;&gt;"","Candidate: "&amp;DATA_KO!B92,"")</f>
        <v/>
      </c>
      <c r="E97" s="273">
        <f>IF(A97&lt;&gt;"","EO: "&amp;DATA_KO!Q92&amp;", IO: "&amp;DATA_KO!R92,"")</f>
        <v/>
      </c>
      <c r="F97" s="273">
        <f>IF(A97&lt;&gt;"",""&amp;DATA_KO!C92,"")</f>
        <v/>
      </c>
      <c r="G97" s="274">
        <f>IF(A97&lt;&gt;"",DATA_KO!G92,"")</f>
        <v/>
      </c>
      <c r="H97" s="273">
        <f>IF(A97&lt;&gt;"",""&amp;DATA_KO!H92,"")</f>
        <v/>
      </c>
      <c r="I97" s="273">
        <f>IF(A97&lt;&gt;"",""&amp;DATA_KO!I92,"")</f>
        <v/>
      </c>
      <c r="J97" s="275">
        <f>IF(A97&lt;&gt;"","➔ Inspect Item","")</f>
        <v/>
      </c>
    </row>
    <row r="98" ht="15.75" customHeight="1" s="132">
      <c r="A98" s="273">
        <f>IF(DATA_KO!A93&lt;&gt;"","Q-"&amp;TEXT(92,"000"),"")</f>
        <v/>
      </c>
      <c r="B98" s="273">
        <f>IF(DATA_KO!A93&lt;&gt;"",""&amp;DATA_KO!A93,"")</f>
        <v/>
      </c>
      <c r="C98" s="273">
        <f>IF(A98&lt;&gt;"",""&amp;DATA_KO!H93&amp;"_KO","")</f>
        <v/>
      </c>
      <c r="D98" s="273">
        <f>IF(A98&lt;&gt;"","Candidate: "&amp;DATA_KO!B93,"")</f>
        <v/>
      </c>
      <c r="E98" s="273">
        <f>IF(A98&lt;&gt;"","EO: "&amp;DATA_KO!Q93&amp;", IO: "&amp;DATA_KO!R93,"")</f>
        <v/>
      </c>
      <c r="F98" s="273">
        <f>IF(A98&lt;&gt;"",""&amp;DATA_KO!C93,"")</f>
        <v/>
      </c>
      <c r="G98" s="274">
        <f>IF(A98&lt;&gt;"",DATA_KO!G93,"")</f>
        <v/>
      </c>
      <c r="H98" s="273">
        <f>IF(A98&lt;&gt;"",""&amp;DATA_KO!H93,"")</f>
        <v/>
      </c>
      <c r="I98" s="273">
        <f>IF(A98&lt;&gt;"",""&amp;DATA_KO!I93,"")</f>
        <v/>
      </c>
      <c r="J98" s="275">
        <f>IF(A98&lt;&gt;"","➔ Inspect Item","")</f>
        <v/>
      </c>
    </row>
    <row r="99" ht="15.75" customHeight="1" s="132">
      <c r="A99" s="273">
        <f>IF(DATA_KO!A94&lt;&gt;"","Q-"&amp;TEXT(93,"000"),"")</f>
        <v/>
      </c>
      <c r="B99" s="273">
        <f>IF(DATA_KO!A94&lt;&gt;"",""&amp;DATA_KO!A94,"")</f>
        <v/>
      </c>
      <c r="C99" s="273">
        <f>IF(A99&lt;&gt;"",""&amp;DATA_KO!H94&amp;"_KO","")</f>
        <v/>
      </c>
      <c r="D99" s="273">
        <f>IF(A99&lt;&gt;"","Candidate: "&amp;DATA_KO!B94,"")</f>
        <v/>
      </c>
      <c r="E99" s="273">
        <f>IF(A99&lt;&gt;"","EO: "&amp;DATA_KO!Q94&amp;", IO: "&amp;DATA_KO!R94,"")</f>
        <v/>
      </c>
      <c r="F99" s="273">
        <f>IF(A99&lt;&gt;"",""&amp;DATA_KO!C94,"")</f>
        <v/>
      </c>
      <c r="G99" s="274">
        <f>IF(A99&lt;&gt;"",DATA_KO!G94,"")</f>
        <v/>
      </c>
      <c r="H99" s="273">
        <f>IF(A99&lt;&gt;"",""&amp;DATA_KO!H94,"")</f>
        <v/>
      </c>
      <c r="I99" s="273">
        <f>IF(A99&lt;&gt;"",""&amp;DATA_KO!I94,"")</f>
        <v/>
      </c>
      <c r="J99" s="275">
        <f>IF(A99&lt;&gt;"","➔ Inspect Item","")</f>
        <v/>
      </c>
    </row>
    <row r="100" ht="15.75" customHeight="1" s="132">
      <c r="A100" s="273">
        <f>IF(DATA_KO!A95&lt;&gt;"","Q-"&amp;TEXT(94,"000"),"")</f>
        <v/>
      </c>
      <c r="B100" s="273">
        <f>IF(DATA_KO!A95&lt;&gt;"",""&amp;DATA_KO!A95,"")</f>
        <v/>
      </c>
      <c r="C100" s="273">
        <f>IF(A100&lt;&gt;"",""&amp;DATA_KO!H95&amp;"_KO","")</f>
        <v/>
      </c>
      <c r="D100" s="273">
        <f>IF(A100&lt;&gt;"","Candidate: "&amp;DATA_KO!B95,"")</f>
        <v/>
      </c>
      <c r="E100" s="273">
        <f>IF(A100&lt;&gt;"","EO: "&amp;DATA_KO!Q95&amp;", IO: "&amp;DATA_KO!R95,"")</f>
        <v/>
      </c>
      <c r="F100" s="273">
        <f>IF(A100&lt;&gt;"",""&amp;DATA_KO!C95,"")</f>
        <v/>
      </c>
      <c r="G100" s="274">
        <f>IF(A100&lt;&gt;"",DATA_KO!G95,"")</f>
        <v/>
      </c>
      <c r="H100" s="273">
        <f>IF(A100&lt;&gt;"",""&amp;DATA_KO!H95,"")</f>
        <v/>
      </c>
      <c r="I100" s="273">
        <f>IF(A100&lt;&gt;"",""&amp;DATA_KO!I95,"")</f>
        <v/>
      </c>
      <c r="J100" s="275">
        <f>IF(A100&lt;&gt;"","➔ Inspect Item","")</f>
        <v/>
      </c>
    </row>
    <row r="101" ht="15.75" customHeight="1" s="132">
      <c r="A101" s="273">
        <f>IF(DATA_KO!A96&lt;&gt;"","Q-"&amp;TEXT(95,"000"),"")</f>
        <v/>
      </c>
      <c r="B101" s="273">
        <f>IF(DATA_KO!A96&lt;&gt;"",""&amp;DATA_KO!A96,"")</f>
        <v/>
      </c>
      <c r="C101" s="273">
        <f>IF(A101&lt;&gt;"",""&amp;DATA_KO!H96&amp;"_KO","")</f>
        <v/>
      </c>
      <c r="D101" s="273">
        <f>IF(A101&lt;&gt;"","Candidate: "&amp;DATA_KO!B96,"")</f>
        <v/>
      </c>
      <c r="E101" s="273">
        <f>IF(A101&lt;&gt;"","EO: "&amp;DATA_KO!Q96&amp;", IO: "&amp;DATA_KO!R96,"")</f>
        <v/>
      </c>
      <c r="F101" s="273">
        <f>IF(A101&lt;&gt;"",""&amp;DATA_KO!C96,"")</f>
        <v/>
      </c>
      <c r="G101" s="274">
        <f>IF(A101&lt;&gt;"",DATA_KO!G96,"")</f>
        <v/>
      </c>
      <c r="H101" s="273">
        <f>IF(A101&lt;&gt;"",""&amp;DATA_KO!H96,"")</f>
        <v/>
      </c>
      <c r="I101" s="273">
        <f>IF(A101&lt;&gt;"",""&amp;DATA_KO!I96,"")</f>
        <v/>
      </c>
      <c r="J101" s="275">
        <f>IF(A101&lt;&gt;"","➔ Inspect Item","")</f>
        <v/>
      </c>
    </row>
    <row r="102" ht="15.75" customHeight="1" s="132">
      <c r="A102" s="273">
        <f>IF(DATA_KO!A97&lt;&gt;"","Q-"&amp;TEXT(96,"000"),"")</f>
        <v/>
      </c>
      <c r="B102" s="273">
        <f>IF(DATA_KO!A97&lt;&gt;"",""&amp;DATA_KO!A97,"")</f>
        <v/>
      </c>
      <c r="C102" s="273">
        <f>IF(A102&lt;&gt;"",""&amp;DATA_KO!H97&amp;"_KO","")</f>
        <v/>
      </c>
      <c r="D102" s="273">
        <f>IF(A102&lt;&gt;"","Candidate: "&amp;DATA_KO!B97,"")</f>
        <v/>
      </c>
      <c r="E102" s="273">
        <f>IF(A102&lt;&gt;"","EO: "&amp;DATA_KO!Q97&amp;", IO: "&amp;DATA_KO!R97,"")</f>
        <v/>
      </c>
      <c r="F102" s="273">
        <f>IF(A102&lt;&gt;"",""&amp;DATA_KO!C97,"")</f>
        <v/>
      </c>
      <c r="G102" s="274">
        <f>IF(A102&lt;&gt;"",DATA_KO!G97,"")</f>
        <v/>
      </c>
      <c r="H102" s="273">
        <f>IF(A102&lt;&gt;"",""&amp;DATA_KO!H97,"")</f>
        <v/>
      </c>
      <c r="I102" s="273">
        <f>IF(A102&lt;&gt;"",""&amp;DATA_KO!I97,"")</f>
        <v/>
      </c>
      <c r="J102" s="275">
        <f>IF(A102&lt;&gt;"","➔ Inspect Item","")</f>
        <v/>
      </c>
    </row>
    <row r="103" ht="15.75" customHeight="1" s="132">
      <c r="A103" s="273">
        <f>IF(DATA_KO!A98&lt;&gt;"","Q-"&amp;TEXT(97,"000"),"")</f>
        <v/>
      </c>
      <c r="B103" s="273">
        <f>IF(DATA_KO!A98&lt;&gt;"",""&amp;DATA_KO!A98,"")</f>
        <v/>
      </c>
      <c r="C103" s="273">
        <f>IF(A103&lt;&gt;"",""&amp;DATA_KO!H98&amp;"_KO","")</f>
        <v/>
      </c>
      <c r="D103" s="273">
        <f>IF(A103&lt;&gt;"","Candidate: "&amp;DATA_KO!B98,"")</f>
        <v/>
      </c>
      <c r="E103" s="273">
        <f>IF(A103&lt;&gt;"","EO: "&amp;DATA_KO!Q98&amp;", IO: "&amp;DATA_KO!R98,"")</f>
        <v/>
      </c>
      <c r="F103" s="273">
        <f>IF(A103&lt;&gt;"",""&amp;DATA_KO!C98,"")</f>
        <v/>
      </c>
      <c r="G103" s="274">
        <f>IF(A103&lt;&gt;"",DATA_KO!G98,"")</f>
        <v/>
      </c>
      <c r="H103" s="273">
        <f>IF(A103&lt;&gt;"",""&amp;DATA_KO!H98,"")</f>
        <v/>
      </c>
      <c r="I103" s="273">
        <f>IF(A103&lt;&gt;"",""&amp;DATA_KO!I98,"")</f>
        <v/>
      </c>
      <c r="J103" s="275">
        <f>IF(A103&lt;&gt;"","➔ Inspect Item","")</f>
        <v/>
      </c>
    </row>
    <row r="104" ht="15.75" customHeight="1" s="132">
      <c r="A104" s="273">
        <f>IF(DATA_KO!A99&lt;&gt;"","Q-"&amp;TEXT(98,"000"),"")</f>
        <v/>
      </c>
      <c r="B104" s="273">
        <f>IF(DATA_KO!A99&lt;&gt;"",""&amp;DATA_KO!A99,"")</f>
        <v/>
      </c>
      <c r="C104" s="273">
        <f>IF(A104&lt;&gt;"",""&amp;DATA_KO!H99&amp;"_KO","")</f>
        <v/>
      </c>
      <c r="D104" s="273">
        <f>IF(A104&lt;&gt;"","Candidate: "&amp;DATA_KO!B99,"")</f>
        <v/>
      </c>
      <c r="E104" s="273">
        <f>IF(A104&lt;&gt;"","EO: "&amp;DATA_KO!Q99&amp;", IO: "&amp;DATA_KO!R99,"")</f>
        <v/>
      </c>
      <c r="F104" s="273">
        <f>IF(A104&lt;&gt;"",""&amp;DATA_KO!C99,"")</f>
        <v/>
      </c>
      <c r="G104" s="274">
        <f>IF(A104&lt;&gt;"",DATA_KO!G99,"")</f>
        <v/>
      </c>
      <c r="H104" s="273">
        <f>IF(A104&lt;&gt;"",""&amp;DATA_KO!H99,"")</f>
        <v/>
      </c>
      <c r="I104" s="273">
        <f>IF(A104&lt;&gt;"",""&amp;DATA_KO!I99,"")</f>
        <v/>
      </c>
      <c r="J104" s="275">
        <f>IF(A104&lt;&gt;"","➔ Inspect Item","")</f>
        <v/>
      </c>
    </row>
    <row r="105" ht="15.75" customHeight="1" s="132">
      <c r="A105" s="273">
        <f>IF(DATA_KO!A100&lt;&gt;"","Q-"&amp;TEXT(99,"000"),"")</f>
        <v/>
      </c>
      <c r="B105" s="273">
        <f>IF(DATA_KO!A100&lt;&gt;"",""&amp;DATA_KO!A100,"")</f>
        <v/>
      </c>
      <c r="C105" s="273">
        <f>IF(A105&lt;&gt;"",""&amp;DATA_KO!H100&amp;"_KO","")</f>
        <v/>
      </c>
      <c r="D105" s="273">
        <f>IF(A105&lt;&gt;"","Candidate: "&amp;DATA_KO!B100,"")</f>
        <v/>
      </c>
      <c r="E105" s="273">
        <f>IF(A105&lt;&gt;"","EO: "&amp;DATA_KO!Q100&amp;", IO: "&amp;DATA_KO!R100,"")</f>
        <v/>
      </c>
      <c r="F105" s="273">
        <f>IF(A105&lt;&gt;"",""&amp;DATA_KO!C100,"")</f>
        <v/>
      </c>
      <c r="G105" s="274">
        <f>IF(A105&lt;&gt;"",DATA_KO!G100,"")</f>
        <v/>
      </c>
      <c r="H105" s="273">
        <f>IF(A105&lt;&gt;"",""&amp;DATA_KO!H100,"")</f>
        <v/>
      </c>
      <c r="I105" s="273">
        <f>IF(A105&lt;&gt;"",""&amp;DATA_KO!I100,"")</f>
        <v/>
      </c>
      <c r="J105" s="275">
        <f>IF(A105&lt;&gt;"","➔ Inspect Item","")</f>
        <v/>
      </c>
    </row>
    <row r="106" ht="15.75" customHeight="1" s="132">
      <c r="A106" s="273">
        <f>IF(DATA_KO!A101&lt;&gt;"","Q-"&amp;TEXT(100,"000"),"")</f>
        <v/>
      </c>
      <c r="B106" s="273">
        <f>IF(DATA_KO!A101&lt;&gt;"",""&amp;DATA_KO!A101,"")</f>
        <v/>
      </c>
      <c r="C106" s="273">
        <f>IF(A106&lt;&gt;"",""&amp;DATA_KO!H101&amp;"_KO","")</f>
        <v/>
      </c>
      <c r="D106" s="273">
        <f>IF(A106&lt;&gt;"","Candidate: "&amp;DATA_KO!B101,"")</f>
        <v/>
      </c>
      <c r="E106" s="273">
        <f>IF(A106&lt;&gt;"","EO: "&amp;DATA_KO!Q101&amp;", IO: "&amp;DATA_KO!R101,"")</f>
        <v/>
      </c>
      <c r="F106" s="273">
        <f>IF(A106&lt;&gt;"",""&amp;DATA_KO!C101,"")</f>
        <v/>
      </c>
      <c r="G106" s="274">
        <f>IF(A106&lt;&gt;"",DATA_KO!G101,"")</f>
        <v/>
      </c>
      <c r="H106" s="273">
        <f>IF(A106&lt;&gt;"",""&amp;DATA_KO!H101,"")</f>
        <v/>
      </c>
      <c r="I106" s="273">
        <f>IF(A106&lt;&gt;"",""&amp;DATA_KO!I101,"")</f>
        <v/>
      </c>
      <c r="J106" s="275">
        <f>IF(A106&lt;&gt;"","➔ Inspect Item","")</f>
        <v/>
      </c>
    </row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autoFilter ref="$A$6:$K$26"/>
  <mergeCells count="1">
    <mergeCell ref="A4:K4"/>
  </mergeCells>
  <dataValidations count="1">
    <dataValidation sqref="H7:H26" showDropDown="0" showInputMessage="0" showErrorMessage="0" allowBlank="1" type="list">
      <formula1>"PENDING_ARCHITECT,UNDER_REVIEW,ACCEPTED,REJECTED,DEFERRED"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 outlineLevelRow="2"/>
  <cols>
    <col width="28" customWidth="1" style="132" min="1" max="1"/>
    <col width="22" customWidth="1" style="132" min="2" max="2"/>
    <col width="50" customWidth="1" style="132" min="3" max="3"/>
    <col width="45" customWidth="1" style="132" min="4" max="4"/>
    <col width="14" customWidth="1" style="132" min="5" max="5"/>
    <col width="22" customWidth="1" style="132" min="6" max="6"/>
    <col width="25" customWidth="1" style="132" min="7" max="7"/>
    <col width="8.710000000000001" customWidth="1" style="132" min="8" max="26"/>
  </cols>
  <sheetData>
    <row r="1">
      <c r="A1" s="175" t="inlineStr">
        <is>
          <t>RESEARCH INTELLIGENCE ENGINE (RIE) — PROVENANCE REGISTER</t>
        </is>
      </c>
      <c r="G1" s="260">
        <f>HYPERLINK("#'01_Executive_Dashboard'!A1", "⮌ BACK TO DASHBOARD")</f>
        <v/>
      </c>
    </row>
    <row r="2">
      <c r="A2" s="261">
        <f>"Cryptographic Provenance, Content Hashes &amp; Immutable Audit Trail (" &amp; COUNTA(DATA_PROVENANCE!A2:A100) &amp; " Assets) | Level 5 Human Custody"</f>
        <v/>
      </c>
    </row>
    <row r="3"/>
    <row r="4">
      <c r="A4" s="262" t="inlineStr">
        <is>
          <t>Asset_ID</t>
        </is>
      </c>
      <c r="B4" s="262" t="inlineStr">
        <is>
          <t>Asset_Type</t>
        </is>
      </c>
      <c r="C4" s="262" t="inlineStr">
        <is>
          <t>Canonical_Path</t>
        </is>
      </c>
      <c r="D4" s="262" t="inlineStr">
        <is>
          <t>SHA256_Checksum</t>
        </is>
      </c>
      <c r="E4" s="262" t="inlineStr">
        <is>
          <t>Record_Count</t>
        </is>
      </c>
      <c r="F4" s="262" t="inlineStr">
        <is>
          <t>Last_Verified_UTC</t>
        </is>
      </c>
      <c r="G4" s="262" t="inlineStr">
        <is>
          <t>Integrity_Status</t>
        </is>
      </c>
    </row>
    <row r="5">
      <c r="A5" s="305">
        <f>IF(DATA_PROVENANCE!A2&lt;&gt;"",""&amp;DATA_PROVENANCE!A2,"")</f>
        <v/>
      </c>
      <c r="B5" s="305">
        <f>IF(A5&lt;&gt;"",""&amp;DATA_PROVENANCE!B2,"")</f>
        <v/>
      </c>
      <c r="C5" s="306">
        <f>IF(A5&lt;&gt;"",""&amp;DATA_PROVENANCE!C2,"")</f>
        <v/>
      </c>
      <c r="D5" s="306">
        <f>IF(A5&lt;&gt;"",""&amp;DATA_PROVENANCE!D2,"")</f>
        <v/>
      </c>
      <c r="E5" s="305">
        <f>IF(A5&lt;&gt;"",DATA_PROVENANCE!E2,"")</f>
        <v/>
      </c>
      <c r="F5" s="305">
        <f>IF(A5&lt;&gt;"",""&amp;DATA_PROVENANCE!F2,"")</f>
        <v/>
      </c>
      <c r="G5" s="307">
        <f>IF(A5&lt;&gt;"",""&amp;DATA_PROVENANCE!G2,"")</f>
        <v/>
      </c>
    </row>
    <row r="6">
      <c r="A6" s="305">
        <f>IF(DATA_PROVENANCE!A3&lt;&gt;"",""&amp;DATA_PROVENANCE!A3,"")</f>
        <v/>
      </c>
      <c r="B6" s="305">
        <f>IF(A6&lt;&gt;"",""&amp;DATA_PROVENANCE!B3,"")</f>
        <v/>
      </c>
      <c r="C6" s="306">
        <f>IF(A6&lt;&gt;"",""&amp;DATA_PROVENANCE!C3,"")</f>
        <v/>
      </c>
      <c r="D6" s="306">
        <f>IF(A6&lt;&gt;"",""&amp;DATA_PROVENANCE!D3,"")</f>
        <v/>
      </c>
      <c r="E6" s="305">
        <f>IF(A6&lt;&gt;"",DATA_PROVENANCE!E3,"")</f>
        <v/>
      </c>
      <c r="F6" s="305">
        <f>IF(A6&lt;&gt;"",""&amp;DATA_PROVENANCE!F3,"")</f>
        <v/>
      </c>
      <c r="G6" s="307">
        <f>IF(A6&lt;&gt;"",""&amp;DATA_PROVENANCE!G3,"")</f>
        <v/>
      </c>
    </row>
    <row r="7">
      <c r="A7" s="305">
        <f>IF(DATA_PROVENANCE!A4&lt;&gt;"",""&amp;DATA_PROVENANCE!A4,"")</f>
        <v/>
      </c>
      <c r="B7" s="305">
        <f>IF(A7&lt;&gt;"",""&amp;DATA_PROVENANCE!B4,"")</f>
        <v/>
      </c>
      <c r="C7" s="306">
        <f>IF(A7&lt;&gt;"",""&amp;DATA_PROVENANCE!C4,"")</f>
        <v/>
      </c>
      <c r="D7" s="306">
        <f>IF(A7&lt;&gt;"",""&amp;DATA_PROVENANCE!D4,"")</f>
        <v/>
      </c>
      <c r="E7" s="305">
        <f>IF(A7&lt;&gt;"",DATA_PROVENANCE!E4,"")</f>
        <v/>
      </c>
      <c r="F7" s="305">
        <f>IF(A7&lt;&gt;"",""&amp;DATA_PROVENANCE!F4,"")</f>
        <v/>
      </c>
      <c r="G7" s="307">
        <f>IF(A7&lt;&gt;"",""&amp;DATA_PROVENANCE!G4,"")</f>
        <v/>
      </c>
    </row>
    <row r="8">
      <c r="A8" s="305">
        <f>IF(DATA_PROVENANCE!A5&lt;&gt;"",""&amp;DATA_PROVENANCE!A5,"")</f>
        <v/>
      </c>
      <c r="B8" s="305">
        <f>IF(A8&lt;&gt;"",""&amp;DATA_PROVENANCE!B5,"")</f>
        <v/>
      </c>
      <c r="C8" s="306">
        <f>IF(A8&lt;&gt;"",""&amp;DATA_PROVENANCE!C5,"")</f>
        <v/>
      </c>
      <c r="D8" s="306">
        <f>IF(A8&lt;&gt;"",""&amp;DATA_PROVENANCE!D5,"")</f>
        <v/>
      </c>
      <c r="E8" s="305">
        <f>IF(A8&lt;&gt;"",DATA_PROVENANCE!E5,"")</f>
        <v/>
      </c>
      <c r="F8" s="305">
        <f>IF(A8&lt;&gt;"",""&amp;DATA_PROVENANCE!F5,"")</f>
        <v/>
      </c>
      <c r="G8" s="307">
        <f>IF(A8&lt;&gt;"",""&amp;DATA_PROVENANCE!G5,"")</f>
        <v/>
      </c>
    </row>
    <row r="9">
      <c r="A9" s="305">
        <f>IF(DATA_PROVENANCE!A6&lt;&gt;"",""&amp;DATA_PROVENANCE!A6,"")</f>
        <v/>
      </c>
      <c r="B9" s="305">
        <f>IF(A9&lt;&gt;"",""&amp;DATA_PROVENANCE!B6,"")</f>
        <v/>
      </c>
      <c r="C9" s="306">
        <f>IF(A9&lt;&gt;"",""&amp;DATA_PROVENANCE!C6,"")</f>
        <v/>
      </c>
      <c r="D9" s="306">
        <f>IF(A9&lt;&gt;"",""&amp;DATA_PROVENANCE!D6,"")</f>
        <v/>
      </c>
      <c r="E9" s="305">
        <f>IF(A9&lt;&gt;"",DATA_PROVENANCE!E6,"")</f>
        <v/>
      </c>
      <c r="F9" s="305">
        <f>IF(A9&lt;&gt;"",""&amp;DATA_PROVENANCE!F6,"")</f>
        <v/>
      </c>
      <c r="G9" s="307">
        <f>IF(A9&lt;&gt;"",""&amp;DATA_PROVENANCE!G6,"")</f>
        <v/>
      </c>
    </row>
    <row r="10">
      <c r="A10" s="305">
        <f>IF(DATA_PROVENANCE!A7&lt;&gt;"",""&amp;DATA_PROVENANCE!A7,"")</f>
        <v/>
      </c>
      <c r="B10" s="305">
        <f>IF(A10&lt;&gt;"",""&amp;DATA_PROVENANCE!B7,"")</f>
        <v/>
      </c>
      <c r="C10" s="306">
        <f>IF(A10&lt;&gt;"",""&amp;DATA_PROVENANCE!C7,"")</f>
        <v/>
      </c>
      <c r="D10" s="306">
        <f>IF(A10&lt;&gt;"",""&amp;DATA_PROVENANCE!D7,"")</f>
        <v/>
      </c>
      <c r="E10" s="305">
        <f>IF(A10&lt;&gt;"",DATA_PROVENANCE!E7,"")</f>
        <v/>
      </c>
      <c r="F10" s="305">
        <f>IF(A10&lt;&gt;"",""&amp;DATA_PROVENANCE!F7,"")</f>
        <v/>
      </c>
      <c r="G10" s="307">
        <f>IF(A10&lt;&gt;"",""&amp;DATA_PROVENANCE!G7,"")</f>
        <v/>
      </c>
    </row>
    <row r="11">
      <c r="A11" s="305">
        <f>IF(DATA_PROVENANCE!A8&lt;&gt;"",""&amp;DATA_PROVENANCE!A8,"")</f>
        <v/>
      </c>
      <c r="B11" s="305">
        <f>IF(A11&lt;&gt;"",""&amp;DATA_PROVENANCE!B8,"")</f>
        <v/>
      </c>
      <c r="C11" s="306">
        <f>IF(A11&lt;&gt;"",""&amp;DATA_PROVENANCE!C8,"")</f>
        <v/>
      </c>
      <c r="D11" s="306">
        <f>IF(A11&lt;&gt;"",""&amp;DATA_PROVENANCE!D8,"")</f>
        <v/>
      </c>
      <c r="E11" s="305">
        <f>IF(A11&lt;&gt;"",DATA_PROVENANCE!E8,"")</f>
        <v/>
      </c>
      <c r="F11" s="305">
        <f>IF(A11&lt;&gt;"",""&amp;DATA_PROVENANCE!F8,"")</f>
        <v/>
      </c>
      <c r="G11" s="307">
        <f>IF(A11&lt;&gt;"",""&amp;DATA_PROVENANCE!G8,"")</f>
        <v/>
      </c>
    </row>
    <row r="12">
      <c r="A12" s="305">
        <f>IF(DATA_PROVENANCE!A9&lt;&gt;"",""&amp;DATA_PROVENANCE!A9,"")</f>
        <v/>
      </c>
      <c r="B12" s="305">
        <f>IF(A12&lt;&gt;"",""&amp;DATA_PROVENANCE!B9,"")</f>
        <v/>
      </c>
      <c r="C12" s="306">
        <f>IF(A12&lt;&gt;"",""&amp;DATA_PROVENANCE!C9,"")</f>
        <v/>
      </c>
      <c r="D12" s="306">
        <f>IF(A12&lt;&gt;"",""&amp;DATA_PROVENANCE!D9,"")</f>
        <v/>
      </c>
      <c r="E12" s="305">
        <f>IF(A12&lt;&gt;"",DATA_PROVENANCE!E9,"")</f>
        <v/>
      </c>
      <c r="F12" s="305">
        <f>IF(A12&lt;&gt;"",""&amp;DATA_PROVENANCE!F9,"")</f>
        <v/>
      </c>
      <c r="G12" s="307">
        <f>IF(A12&lt;&gt;"",""&amp;DATA_PROVENANCE!G9,"")</f>
        <v/>
      </c>
    </row>
    <row r="13">
      <c r="A13" s="305">
        <f>IF(DATA_PROVENANCE!A10&lt;&gt;"",""&amp;DATA_PROVENANCE!A10,"")</f>
        <v/>
      </c>
      <c r="B13" s="305">
        <f>IF(A13&lt;&gt;"",""&amp;DATA_PROVENANCE!B10,"")</f>
        <v/>
      </c>
      <c r="C13" s="306">
        <f>IF(A13&lt;&gt;"",""&amp;DATA_PROVENANCE!C10,"")</f>
        <v/>
      </c>
      <c r="D13" s="306">
        <f>IF(A13&lt;&gt;"",""&amp;DATA_PROVENANCE!D10,"")</f>
        <v/>
      </c>
      <c r="E13" s="305">
        <f>IF(A13&lt;&gt;"",DATA_PROVENANCE!E10,"")</f>
        <v/>
      </c>
      <c r="F13" s="305">
        <f>IF(A13&lt;&gt;"",""&amp;DATA_PROVENANCE!F10,"")</f>
        <v/>
      </c>
      <c r="G13" s="307">
        <f>IF(A13&lt;&gt;"",""&amp;DATA_PROVENANCE!G10,"")</f>
        <v/>
      </c>
    </row>
    <row r="14">
      <c r="A14" s="273">
        <f>IF(DATA_PROVENANCE!A11&lt;&gt;"",""&amp;DATA_PROVENANCE!A11,"")</f>
        <v/>
      </c>
      <c r="B14" s="273">
        <f>IF(A14&lt;&gt;"",""&amp;DATA_PROVENANCE!B11,"")</f>
        <v/>
      </c>
      <c r="C14" s="273">
        <f>IF(A14&lt;&gt;"",""&amp;DATA_PROVENANCE!C11,"")</f>
        <v/>
      </c>
      <c r="D14" s="273">
        <f>IF(A14&lt;&gt;"",""&amp;DATA_PROVENANCE!D11,"")</f>
        <v/>
      </c>
      <c r="E14" s="273">
        <f>IF(A14&lt;&gt;"",DATA_PROVENANCE!E11,"")</f>
        <v/>
      </c>
      <c r="F14" s="273">
        <f>IF(A14&lt;&gt;"",""&amp;DATA_PROVENANCE!F11,"")</f>
        <v/>
      </c>
      <c r="G14" s="273">
        <f>IF(A14&lt;&gt;"",""&amp;DATA_PROVENANCE!G11,"")</f>
        <v/>
      </c>
    </row>
    <row r="15">
      <c r="A15" s="273">
        <f>IF(DATA_PROVENANCE!A12&lt;&gt;"",""&amp;DATA_PROVENANCE!A12,"")</f>
        <v/>
      </c>
      <c r="B15" s="273">
        <f>IF(A15&lt;&gt;"",""&amp;DATA_PROVENANCE!B12,"")</f>
        <v/>
      </c>
      <c r="C15" s="273">
        <f>IF(A15&lt;&gt;"",""&amp;DATA_PROVENANCE!C12,"")</f>
        <v/>
      </c>
      <c r="D15" s="273">
        <f>IF(A15&lt;&gt;"",""&amp;DATA_PROVENANCE!D12,"")</f>
        <v/>
      </c>
      <c r="E15" s="273">
        <f>IF(A15&lt;&gt;"",DATA_PROVENANCE!E12,"")</f>
        <v/>
      </c>
      <c r="F15" s="273">
        <f>IF(A15&lt;&gt;"",""&amp;DATA_PROVENANCE!F12,"")</f>
        <v/>
      </c>
      <c r="G15" s="273">
        <f>IF(A15&lt;&gt;"",""&amp;DATA_PROVENANCE!G12,"")</f>
        <v/>
      </c>
    </row>
    <row r="16">
      <c r="A16" s="273">
        <f>IF(DATA_PROVENANCE!A13&lt;&gt;"",""&amp;DATA_PROVENANCE!A13,"")</f>
        <v/>
      </c>
      <c r="B16" s="273">
        <f>IF(A16&lt;&gt;"",""&amp;DATA_PROVENANCE!B13,"")</f>
        <v/>
      </c>
      <c r="C16" s="273">
        <f>IF(A16&lt;&gt;"",""&amp;DATA_PROVENANCE!C13,"")</f>
        <v/>
      </c>
      <c r="D16" s="273">
        <f>IF(A16&lt;&gt;"",""&amp;DATA_PROVENANCE!D13,"")</f>
        <v/>
      </c>
      <c r="E16" s="273">
        <f>IF(A16&lt;&gt;"",DATA_PROVENANCE!E13,"")</f>
        <v/>
      </c>
      <c r="F16" s="273">
        <f>IF(A16&lt;&gt;"",""&amp;DATA_PROVENANCE!F13,"")</f>
        <v/>
      </c>
      <c r="G16" s="273">
        <f>IF(A16&lt;&gt;"",""&amp;DATA_PROVENANCE!G13,"")</f>
        <v/>
      </c>
    </row>
    <row r="17">
      <c r="A17" s="273">
        <f>IF(DATA_PROVENANCE!A14&lt;&gt;"",""&amp;DATA_PROVENANCE!A14,"")</f>
        <v/>
      </c>
      <c r="B17" s="273">
        <f>IF(A17&lt;&gt;"",""&amp;DATA_PROVENANCE!B14,"")</f>
        <v/>
      </c>
      <c r="C17" s="273">
        <f>IF(A17&lt;&gt;"",""&amp;DATA_PROVENANCE!C14,"")</f>
        <v/>
      </c>
      <c r="D17" s="273">
        <f>IF(A17&lt;&gt;"",""&amp;DATA_PROVENANCE!D14,"")</f>
        <v/>
      </c>
      <c r="E17" s="273">
        <f>IF(A17&lt;&gt;"",DATA_PROVENANCE!E14,"")</f>
        <v/>
      </c>
      <c r="F17" s="273">
        <f>IF(A17&lt;&gt;"",""&amp;DATA_PROVENANCE!F14,"")</f>
        <v/>
      </c>
      <c r="G17" s="273">
        <f>IF(A17&lt;&gt;"",""&amp;DATA_PROVENANCE!G14,"")</f>
        <v/>
      </c>
    </row>
    <row r="18">
      <c r="A18" s="273">
        <f>IF(DATA_PROVENANCE!A15&lt;&gt;"",""&amp;DATA_PROVENANCE!A15,"")</f>
        <v/>
      </c>
      <c r="B18" s="273">
        <f>IF(A18&lt;&gt;"",""&amp;DATA_PROVENANCE!B15,"")</f>
        <v/>
      </c>
      <c r="C18" s="273">
        <f>IF(A18&lt;&gt;"",""&amp;DATA_PROVENANCE!C15,"")</f>
        <v/>
      </c>
      <c r="D18" s="273">
        <f>IF(A18&lt;&gt;"",""&amp;DATA_PROVENANCE!D15,"")</f>
        <v/>
      </c>
      <c r="E18" s="273">
        <f>IF(A18&lt;&gt;"",DATA_PROVENANCE!E15,"")</f>
        <v/>
      </c>
      <c r="F18" s="273">
        <f>IF(A18&lt;&gt;"",""&amp;DATA_PROVENANCE!F15,"")</f>
        <v/>
      </c>
      <c r="G18" s="273">
        <f>IF(A18&lt;&gt;"",""&amp;DATA_PROVENANCE!G15,"")</f>
        <v/>
      </c>
    </row>
    <row r="19">
      <c r="A19" s="273">
        <f>IF(DATA_PROVENANCE!A16&lt;&gt;"",""&amp;DATA_PROVENANCE!A16,"")</f>
        <v/>
      </c>
      <c r="B19" s="273">
        <f>IF(A19&lt;&gt;"",""&amp;DATA_PROVENANCE!B16,"")</f>
        <v/>
      </c>
      <c r="C19" s="273">
        <f>IF(A19&lt;&gt;"",""&amp;DATA_PROVENANCE!C16,"")</f>
        <v/>
      </c>
      <c r="D19" s="273">
        <f>IF(A19&lt;&gt;"",""&amp;DATA_PROVENANCE!D16,"")</f>
        <v/>
      </c>
      <c r="E19" s="273">
        <f>IF(A19&lt;&gt;"",DATA_PROVENANCE!E16,"")</f>
        <v/>
      </c>
      <c r="F19" s="273">
        <f>IF(A19&lt;&gt;"",""&amp;DATA_PROVENANCE!F16,"")</f>
        <v/>
      </c>
      <c r="G19" s="273">
        <f>IF(A19&lt;&gt;"",""&amp;DATA_PROVENANCE!G16,"")</f>
        <v/>
      </c>
    </row>
    <row r="20">
      <c r="A20" s="273">
        <f>IF(DATA_PROVENANCE!A17&lt;&gt;"",""&amp;DATA_PROVENANCE!A17,"")</f>
        <v/>
      </c>
      <c r="B20" s="273">
        <f>IF(A20&lt;&gt;"",""&amp;DATA_PROVENANCE!B17,"")</f>
        <v/>
      </c>
      <c r="C20" s="273">
        <f>IF(A20&lt;&gt;"",""&amp;DATA_PROVENANCE!C17,"")</f>
        <v/>
      </c>
      <c r="D20" s="273">
        <f>IF(A20&lt;&gt;"",""&amp;DATA_PROVENANCE!D17,"")</f>
        <v/>
      </c>
      <c r="E20" s="273">
        <f>IF(A20&lt;&gt;"",DATA_PROVENANCE!E17,"")</f>
        <v/>
      </c>
      <c r="F20" s="273">
        <f>IF(A20&lt;&gt;"",""&amp;DATA_PROVENANCE!F17,"")</f>
        <v/>
      </c>
      <c r="G20" s="273">
        <f>IF(A20&lt;&gt;"",""&amp;DATA_PROVENANCE!G17,"")</f>
        <v/>
      </c>
    </row>
    <row r="21" ht="15.75" customHeight="1" s="132">
      <c r="A21" s="273">
        <f>IF(DATA_PROVENANCE!A18&lt;&gt;"",""&amp;DATA_PROVENANCE!A18,"")</f>
        <v/>
      </c>
      <c r="B21" s="273">
        <f>IF(A21&lt;&gt;"",""&amp;DATA_PROVENANCE!B18,"")</f>
        <v/>
      </c>
      <c r="C21" s="273">
        <f>IF(A21&lt;&gt;"",""&amp;DATA_PROVENANCE!C18,"")</f>
        <v/>
      </c>
      <c r="D21" s="273">
        <f>IF(A21&lt;&gt;"",""&amp;DATA_PROVENANCE!D18,"")</f>
        <v/>
      </c>
      <c r="E21" s="273">
        <f>IF(A21&lt;&gt;"",DATA_PROVENANCE!E18,"")</f>
        <v/>
      </c>
      <c r="F21" s="273">
        <f>IF(A21&lt;&gt;"",""&amp;DATA_PROVENANCE!F18,"")</f>
        <v/>
      </c>
      <c r="G21" s="273">
        <f>IF(A21&lt;&gt;"",""&amp;DATA_PROVENANCE!G18,"")</f>
        <v/>
      </c>
    </row>
    <row r="22" ht="15.75" customHeight="1" s="132">
      <c r="A22" s="273">
        <f>IF(DATA_PROVENANCE!A19&lt;&gt;"",""&amp;DATA_PROVENANCE!A19,"")</f>
        <v/>
      </c>
      <c r="B22" s="273">
        <f>IF(A22&lt;&gt;"",""&amp;DATA_PROVENANCE!B19,"")</f>
        <v/>
      </c>
      <c r="C22" s="273">
        <f>IF(A22&lt;&gt;"",""&amp;DATA_PROVENANCE!C19,"")</f>
        <v/>
      </c>
      <c r="D22" s="273">
        <f>IF(A22&lt;&gt;"",""&amp;DATA_PROVENANCE!D19,"")</f>
        <v/>
      </c>
      <c r="E22" s="273">
        <f>IF(A22&lt;&gt;"",DATA_PROVENANCE!E19,"")</f>
        <v/>
      </c>
      <c r="F22" s="273">
        <f>IF(A22&lt;&gt;"",""&amp;DATA_PROVENANCE!F19,"")</f>
        <v/>
      </c>
      <c r="G22" s="273">
        <f>IF(A22&lt;&gt;"",""&amp;DATA_PROVENANCE!G19,"")</f>
        <v/>
      </c>
    </row>
    <row r="23" ht="15.75" customHeight="1" s="132">
      <c r="A23" s="273">
        <f>IF(DATA_PROVENANCE!A20&lt;&gt;"",""&amp;DATA_PROVENANCE!A20,"")</f>
        <v/>
      </c>
      <c r="B23" s="273">
        <f>IF(A23&lt;&gt;"",""&amp;DATA_PROVENANCE!B20,"")</f>
        <v/>
      </c>
      <c r="C23" s="273">
        <f>IF(A23&lt;&gt;"",""&amp;DATA_PROVENANCE!C20,"")</f>
        <v/>
      </c>
      <c r="D23" s="273">
        <f>IF(A23&lt;&gt;"",""&amp;DATA_PROVENANCE!D20,"")</f>
        <v/>
      </c>
      <c r="E23" s="273">
        <f>IF(A23&lt;&gt;"",DATA_PROVENANCE!E20,"")</f>
        <v/>
      </c>
      <c r="F23" s="273">
        <f>IF(A23&lt;&gt;"",""&amp;DATA_PROVENANCE!F20,"")</f>
        <v/>
      </c>
      <c r="G23" s="273">
        <f>IF(A23&lt;&gt;"",""&amp;DATA_PROVENANCE!G20,"")</f>
        <v/>
      </c>
    </row>
    <row r="24" ht="15.75" customHeight="1" s="132">
      <c r="A24" s="273">
        <f>IF(DATA_PROVENANCE!A21&lt;&gt;"",""&amp;DATA_PROVENANCE!A21,"")</f>
        <v/>
      </c>
      <c r="B24" s="273">
        <f>IF(A24&lt;&gt;"",""&amp;DATA_PROVENANCE!B21,"")</f>
        <v/>
      </c>
      <c r="C24" s="273">
        <f>IF(A24&lt;&gt;"",""&amp;DATA_PROVENANCE!C21,"")</f>
        <v/>
      </c>
      <c r="D24" s="273">
        <f>IF(A24&lt;&gt;"",""&amp;DATA_PROVENANCE!D21,"")</f>
        <v/>
      </c>
      <c r="E24" s="273">
        <f>IF(A24&lt;&gt;"",DATA_PROVENANCE!E21,"")</f>
        <v/>
      </c>
      <c r="F24" s="273">
        <f>IF(A24&lt;&gt;"",""&amp;DATA_PROVENANCE!F21,"")</f>
        <v/>
      </c>
      <c r="G24" s="273">
        <f>IF(A24&lt;&gt;"",""&amp;DATA_PROVENANCE!G21,"")</f>
        <v/>
      </c>
    </row>
    <row r="25" ht="15.75" customHeight="1" s="132">
      <c r="A25" s="273">
        <f>IF(DATA_PROVENANCE!A22&lt;&gt;"",""&amp;DATA_PROVENANCE!A22,"")</f>
        <v/>
      </c>
      <c r="B25" s="273">
        <f>IF(A25&lt;&gt;"",""&amp;DATA_PROVENANCE!B22,"")</f>
        <v/>
      </c>
      <c r="C25" s="273">
        <f>IF(A25&lt;&gt;"",""&amp;DATA_PROVENANCE!C22,"")</f>
        <v/>
      </c>
      <c r="D25" s="273">
        <f>IF(A25&lt;&gt;"",""&amp;DATA_PROVENANCE!D22,"")</f>
        <v/>
      </c>
      <c r="E25" s="273">
        <f>IF(A25&lt;&gt;"",DATA_PROVENANCE!E22,"")</f>
        <v/>
      </c>
      <c r="F25" s="273">
        <f>IF(A25&lt;&gt;"",""&amp;DATA_PROVENANCE!F22,"")</f>
        <v/>
      </c>
      <c r="G25" s="273">
        <f>IF(A25&lt;&gt;"",""&amp;DATA_PROVENANCE!G22,"")</f>
        <v/>
      </c>
    </row>
    <row r="26" ht="15.75" customHeight="1" s="132">
      <c r="A26" s="273">
        <f>IF(DATA_PROVENANCE!A23&lt;&gt;"",""&amp;DATA_PROVENANCE!A23,"")</f>
        <v/>
      </c>
      <c r="B26" s="273">
        <f>IF(A26&lt;&gt;"",""&amp;DATA_PROVENANCE!B23,"")</f>
        <v/>
      </c>
      <c r="C26" s="273">
        <f>IF(A26&lt;&gt;"",""&amp;DATA_PROVENANCE!C23,"")</f>
        <v/>
      </c>
      <c r="D26" s="273">
        <f>IF(A26&lt;&gt;"",""&amp;DATA_PROVENANCE!D23,"")</f>
        <v/>
      </c>
      <c r="E26" s="273">
        <f>IF(A26&lt;&gt;"",DATA_PROVENANCE!E23,"")</f>
        <v/>
      </c>
      <c r="F26" s="273">
        <f>IF(A26&lt;&gt;"",""&amp;DATA_PROVENANCE!F23,"")</f>
        <v/>
      </c>
      <c r="G26" s="273">
        <f>IF(A26&lt;&gt;"",""&amp;DATA_PROVENANCE!G23,"")</f>
        <v/>
      </c>
    </row>
    <row r="27" ht="15.75" customHeight="1" s="132">
      <c r="A27" s="273">
        <f>IF(DATA_PROVENANCE!A24&lt;&gt;"",""&amp;DATA_PROVENANCE!A24,"")</f>
        <v/>
      </c>
      <c r="B27" s="273">
        <f>IF(A27&lt;&gt;"",""&amp;DATA_PROVENANCE!B24,"")</f>
        <v/>
      </c>
      <c r="C27" s="273">
        <f>IF(A27&lt;&gt;"",""&amp;DATA_PROVENANCE!C24,"")</f>
        <v/>
      </c>
      <c r="D27" s="273">
        <f>IF(A27&lt;&gt;"",""&amp;DATA_PROVENANCE!D24,"")</f>
        <v/>
      </c>
      <c r="E27" s="273">
        <f>IF(A27&lt;&gt;"",DATA_PROVENANCE!E24,"")</f>
        <v/>
      </c>
      <c r="F27" s="273">
        <f>IF(A27&lt;&gt;"",""&amp;DATA_PROVENANCE!F24,"")</f>
        <v/>
      </c>
      <c r="G27" s="273">
        <f>IF(A27&lt;&gt;"",""&amp;DATA_PROVENANCE!G24,"")</f>
        <v/>
      </c>
    </row>
    <row r="28" ht="15.75" customHeight="1" s="132">
      <c r="A28" s="273">
        <f>IF(DATA_PROVENANCE!A25&lt;&gt;"",""&amp;DATA_PROVENANCE!A25,"")</f>
        <v/>
      </c>
      <c r="B28" s="273">
        <f>IF(A28&lt;&gt;"",""&amp;DATA_PROVENANCE!B25,"")</f>
        <v/>
      </c>
      <c r="C28" s="273">
        <f>IF(A28&lt;&gt;"",""&amp;DATA_PROVENANCE!C25,"")</f>
        <v/>
      </c>
      <c r="D28" s="273">
        <f>IF(A28&lt;&gt;"",""&amp;DATA_PROVENANCE!D25,"")</f>
        <v/>
      </c>
      <c r="E28" s="273">
        <f>IF(A28&lt;&gt;"",DATA_PROVENANCE!E25,"")</f>
        <v/>
      </c>
      <c r="F28" s="273">
        <f>IF(A28&lt;&gt;"",""&amp;DATA_PROVENANCE!F25,"")</f>
        <v/>
      </c>
      <c r="G28" s="273">
        <f>IF(A28&lt;&gt;"",""&amp;DATA_PROVENANCE!G25,"")</f>
        <v/>
      </c>
    </row>
    <row r="29" ht="15.75" customHeight="1" s="132">
      <c r="A29" s="273">
        <f>IF(DATA_PROVENANCE!A26&lt;&gt;"",""&amp;DATA_PROVENANCE!A26,"")</f>
        <v/>
      </c>
      <c r="B29" s="273">
        <f>IF(A29&lt;&gt;"",""&amp;DATA_PROVENANCE!B26,"")</f>
        <v/>
      </c>
      <c r="C29" s="273">
        <f>IF(A29&lt;&gt;"",""&amp;DATA_PROVENANCE!C26,"")</f>
        <v/>
      </c>
      <c r="D29" s="273">
        <f>IF(A29&lt;&gt;"",""&amp;DATA_PROVENANCE!D26,"")</f>
        <v/>
      </c>
      <c r="E29" s="273">
        <f>IF(A29&lt;&gt;"",DATA_PROVENANCE!E26,"")</f>
        <v/>
      </c>
      <c r="F29" s="273">
        <f>IF(A29&lt;&gt;"",""&amp;DATA_PROVENANCE!F26,"")</f>
        <v/>
      </c>
      <c r="G29" s="273">
        <f>IF(A29&lt;&gt;"",""&amp;DATA_PROVENANCE!G26,"")</f>
        <v/>
      </c>
    </row>
    <row r="30" ht="15.75" customHeight="1" s="132">
      <c r="A30" s="273">
        <f>IF(DATA_PROVENANCE!A27&lt;&gt;"",""&amp;DATA_PROVENANCE!A27,"")</f>
        <v/>
      </c>
      <c r="B30" s="273">
        <f>IF(A30&lt;&gt;"",""&amp;DATA_PROVENANCE!B27,"")</f>
        <v/>
      </c>
      <c r="C30" s="273">
        <f>IF(A30&lt;&gt;"",""&amp;DATA_PROVENANCE!C27,"")</f>
        <v/>
      </c>
      <c r="D30" s="273">
        <f>IF(A30&lt;&gt;"",""&amp;DATA_PROVENANCE!D27,"")</f>
        <v/>
      </c>
      <c r="E30" s="273">
        <f>IF(A30&lt;&gt;"",DATA_PROVENANCE!E27,"")</f>
        <v/>
      </c>
      <c r="F30" s="273">
        <f>IF(A30&lt;&gt;"",""&amp;DATA_PROVENANCE!F27,"")</f>
        <v/>
      </c>
      <c r="G30" s="273">
        <f>IF(A30&lt;&gt;"",""&amp;DATA_PROVENANCE!G27,"")</f>
        <v/>
      </c>
    </row>
    <row r="31" ht="15.75" customHeight="1" s="132">
      <c r="A31" s="273">
        <f>IF(DATA_PROVENANCE!A28&lt;&gt;"",""&amp;DATA_PROVENANCE!A28,"")</f>
        <v/>
      </c>
      <c r="B31" s="273">
        <f>IF(A31&lt;&gt;"",""&amp;DATA_PROVENANCE!B28,"")</f>
        <v/>
      </c>
      <c r="C31" s="273">
        <f>IF(A31&lt;&gt;"",""&amp;DATA_PROVENANCE!C28,"")</f>
        <v/>
      </c>
      <c r="D31" s="273">
        <f>IF(A31&lt;&gt;"",""&amp;DATA_PROVENANCE!D28,"")</f>
        <v/>
      </c>
      <c r="E31" s="273">
        <f>IF(A31&lt;&gt;"",DATA_PROVENANCE!E28,"")</f>
        <v/>
      </c>
      <c r="F31" s="273">
        <f>IF(A31&lt;&gt;"",""&amp;DATA_PROVENANCE!F28,"")</f>
        <v/>
      </c>
      <c r="G31" s="273">
        <f>IF(A31&lt;&gt;"",""&amp;DATA_PROVENANCE!G28,"")</f>
        <v/>
      </c>
    </row>
    <row r="32" ht="15.75" customHeight="1" s="132">
      <c r="A32" s="273">
        <f>IF(DATA_PROVENANCE!A29&lt;&gt;"",""&amp;DATA_PROVENANCE!A29,"")</f>
        <v/>
      </c>
      <c r="B32" s="273">
        <f>IF(A32&lt;&gt;"",""&amp;DATA_PROVENANCE!B29,"")</f>
        <v/>
      </c>
      <c r="C32" s="273">
        <f>IF(A32&lt;&gt;"",""&amp;DATA_PROVENANCE!C29,"")</f>
        <v/>
      </c>
      <c r="D32" s="273">
        <f>IF(A32&lt;&gt;"",""&amp;DATA_PROVENANCE!D29,"")</f>
        <v/>
      </c>
      <c r="E32" s="273">
        <f>IF(A32&lt;&gt;"",DATA_PROVENANCE!E29,"")</f>
        <v/>
      </c>
      <c r="F32" s="273">
        <f>IF(A32&lt;&gt;"",""&amp;DATA_PROVENANCE!F29,"")</f>
        <v/>
      </c>
      <c r="G32" s="273">
        <f>IF(A32&lt;&gt;"",""&amp;DATA_PROVENANCE!G29,"")</f>
        <v/>
      </c>
    </row>
    <row r="33" ht="15.75" customHeight="1" s="132">
      <c r="A33" s="273">
        <f>IF(DATA_PROVENANCE!A30&lt;&gt;"",""&amp;DATA_PROVENANCE!A30,"")</f>
        <v/>
      </c>
      <c r="B33" s="273">
        <f>IF(A33&lt;&gt;"",""&amp;DATA_PROVENANCE!B30,"")</f>
        <v/>
      </c>
      <c r="C33" s="273">
        <f>IF(A33&lt;&gt;"",""&amp;DATA_PROVENANCE!C30,"")</f>
        <v/>
      </c>
      <c r="D33" s="273">
        <f>IF(A33&lt;&gt;"",""&amp;DATA_PROVENANCE!D30,"")</f>
        <v/>
      </c>
      <c r="E33" s="273">
        <f>IF(A33&lt;&gt;"",DATA_PROVENANCE!E30,"")</f>
        <v/>
      </c>
      <c r="F33" s="273">
        <f>IF(A33&lt;&gt;"",""&amp;DATA_PROVENANCE!F30,"")</f>
        <v/>
      </c>
      <c r="G33" s="273">
        <f>IF(A33&lt;&gt;"",""&amp;DATA_PROVENANCE!G30,"")</f>
        <v/>
      </c>
    </row>
    <row r="34" ht="15.75" customHeight="1" s="132">
      <c r="A34" s="273">
        <f>IF(DATA_PROVENANCE!A31&lt;&gt;"",""&amp;DATA_PROVENANCE!A31,"")</f>
        <v/>
      </c>
      <c r="B34" s="273">
        <f>IF(A34&lt;&gt;"",""&amp;DATA_PROVENANCE!B31,"")</f>
        <v/>
      </c>
      <c r="C34" s="273">
        <f>IF(A34&lt;&gt;"",""&amp;DATA_PROVENANCE!C31,"")</f>
        <v/>
      </c>
      <c r="D34" s="273">
        <f>IF(A34&lt;&gt;"",""&amp;DATA_PROVENANCE!D31,"")</f>
        <v/>
      </c>
      <c r="E34" s="273">
        <f>IF(A34&lt;&gt;"",DATA_PROVENANCE!E31,"")</f>
        <v/>
      </c>
      <c r="F34" s="273">
        <f>IF(A34&lt;&gt;"",""&amp;DATA_PROVENANCE!F31,"")</f>
        <v/>
      </c>
      <c r="G34" s="273">
        <f>IF(A34&lt;&gt;"",""&amp;DATA_PROVENANCE!G31,"")</f>
        <v/>
      </c>
    </row>
    <row r="35" ht="15.75" customHeight="1" s="132">
      <c r="A35" s="273">
        <f>IF(DATA_PROVENANCE!A32&lt;&gt;"",""&amp;DATA_PROVENANCE!A32,"")</f>
        <v/>
      </c>
      <c r="B35" s="273">
        <f>IF(A35&lt;&gt;"",""&amp;DATA_PROVENANCE!B32,"")</f>
        <v/>
      </c>
      <c r="C35" s="273">
        <f>IF(A35&lt;&gt;"",""&amp;DATA_PROVENANCE!C32,"")</f>
        <v/>
      </c>
      <c r="D35" s="273">
        <f>IF(A35&lt;&gt;"",""&amp;DATA_PROVENANCE!D32,"")</f>
        <v/>
      </c>
      <c r="E35" s="273">
        <f>IF(A35&lt;&gt;"",DATA_PROVENANCE!E32,"")</f>
        <v/>
      </c>
      <c r="F35" s="273">
        <f>IF(A35&lt;&gt;"",""&amp;DATA_PROVENANCE!F32,"")</f>
        <v/>
      </c>
      <c r="G35" s="273">
        <f>IF(A35&lt;&gt;"",""&amp;DATA_PROVENANCE!G32,"")</f>
        <v/>
      </c>
    </row>
    <row r="36" ht="15.75" customHeight="1" s="132">
      <c r="A36" s="273">
        <f>IF(DATA_PROVENANCE!A33&lt;&gt;"",""&amp;DATA_PROVENANCE!A33,"")</f>
        <v/>
      </c>
      <c r="B36" s="273">
        <f>IF(A36&lt;&gt;"",""&amp;DATA_PROVENANCE!B33,"")</f>
        <v/>
      </c>
      <c r="C36" s="273">
        <f>IF(A36&lt;&gt;"",""&amp;DATA_PROVENANCE!C33,"")</f>
        <v/>
      </c>
      <c r="D36" s="273">
        <f>IF(A36&lt;&gt;"",""&amp;DATA_PROVENANCE!D33,"")</f>
        <v/>
      </c>
      <c r="E36" s="273">
        <f>IF(A36&lt;&gt;"",DATA_PROVENANCE!E33,"")</f>
        <v/>
      </c>
      <c r="F36" s="273">
        <f>IF(A36&lt;&gt;"",""&amp;DATA_PROVENANCE!F33,"")</f>
        <v/>
      </c>
      <c r="G36" s="273">
        <f>IF(A36&lt;&gt;"",""&amp;DATA_PROVENANCE!G33,"")</f>
        <v/>
      </c>
    </row>
    <row r="37" ht="15.75" customHeight="1" s="132">
      <c r="A37" s="273">
        <f>IF(DATA_PROVENANCE!A34&lt;&gt;"",""&amp;DATA_PROVENANCE!A34,"")</f>
        <v/>
      </c>
      <c r="B37" s="273">
        <f>IF(A37&lt;&gt;"",""&amp;DATA_PROVENANCE!B34,"")</f>
        <v/>
      </c>
      <c r="C37" s="273">
        <f>IF(A37&lt;&gt;"",""&amp;DATA_PROVENANCE!C34,"")</f>
        <v/>
      </c>
      <c r="D37" s="273">
        <f>IF(A37&lt;&gt;"",""&amp;DATA_PROVENANCE!D34,"")</f>
        <v/>
      </c>
      <c r="E37" s="273">
        <f>IF(A37&lt;&gt;"",DATA_PROVENANCE!E34,"")</f>
        <v/>
      </c>
      <c r="F37" s="273">
        <f>IF(A37&lt;&gt;"",""&amp;DATA_PROVENANCE!F34,"")</f>
        <v/>
      </c>
      <c r="G37" s="273">
        <f>IF(A37&lt;&gt;"",""&amp;DATA_PROVENANCE!G34,"")</f>
        <v/>
      </c>
    </row>
    <row r="38" ht="15.75" customHeight="1" s="132">
      <c r="A38" s="273">
        <f>IF(DATA_PROVENANCE!A35&lt;&gt;"",""&amp;DATA_PROVENANCE!A35,"")</f>
        <v/>
      </c>
      <c r="B38" s="273">
        <f>IF(A38&lt;&gt;"",""&amp;DATA_PROVENANCE!B35,"")</f>
        <v/>
      </c>
      <c r="C38" s="273">
        <f>IF(A38&lt;&gt;"",""&amp;DATA_PROVENANCE!C35,"")</f>
        <v/>
      </c>
      <c r="D38" s="273">
        <f>IF(A38&lt;&gt;"",""&amp;DATA_PROVENANCE!D35,"")</f>
        <v/>
      </c>
      <c r="E38" s="273">
        <f>IF(A38&lt;&gt;"",DATA_PROVENANCE!E35,"")</f>
        <v/>
      </c>
      <c r="F38" s="273">
        <f>IF(A38&lt;&gt;"",""&amp;DATA_PROVENANCE!F35,"")</f>
        <v/>
      </c>
      <c r="G38" s="273">
        <f>IF(A38&lt;&gt;"",""&amp;DATA_PROVENANCE!G35,"")</f>
        <v/>
      </c>
    </row>
    <row r="39" ht="15.75" customHeight="1" s="132">
      <c r="A39" s="273">
        <f>IF(DATA_PROVENANCE!A36&lt;&gt;"",""&amp;DATA_PROVENANCE!A36,"")</f>
        <v/>
      </c>
      <c r="B39" s="273">
        <f>IF(A39&lt;&gt;"",""&amp;DATA_PROVENANCE!B36,"")</f>
        <v/>
      </c>
      <c r="C39" s="273">
        <f>IF(A39&lt;&gt;"",""&amp;DATA_PROVENANCE!C36,"")</f>
        <v/>
      </c>
      <c r="D39" s="273">
        <f>IF(A39&lt;&gt;"",""&amp;DATA_PROVENANCE!D36,"")</f>
        <v/>
      </c>
      <c r="E39" s="273">
        <f>IF(A39&lt;&gt;"",DATA_PROVENANCE!E36,"")</f>
        <v/>
      </c>
      <c r="F39" s="273">
        <f>IF(A39&lt;&gt;"",""&amp;DATA_PROVENANCE!F36,"")</f>
        <v/>
      </c>
      <c r="G39" s="273">
        <f>IF(A39&lt;&gt;"",""&amp;DATA_PROVENANCE!G36,"")</f>
        <v/>
      </c>
    </row>
    <row r="40" ht="15.75" customHeight="1" s="132">
      <c r="A40" s="273">
        <f>IF(DATA_PROVENANCE!A37&lt;&gt;"",""&amp;DATA_PROVENANCE!A37,"")</f>
        <v/>
      </c>
      <c r="B40" s="273">
        <f>IF(A40&lt;&gt;"",""&amp;DATA_PROVENANCE!B37,"")</f>
        <v/>
      </c>
      <c r="C40" s="273">
        <f>IF(A40&lt;&gt;"",""&amp;DATA_PROVENANCE!C37,"")</f>
        <v/>
      </c>
      <c r="D40" s="273">
        <f>IF(A40&lt;&gt;"",""&amp;DATA_PROVENANCE!D37,"")</f>
        <v/>
      </c>
      <c r="E40" s="273">
        <f>IF(A40&lt;&gt;"",DATA_PROVENANCE!E37,"")</f>
        <v/>
      </c>
      <c r="F40" s="273">
        <f>IF(A40&lt;&gt;"",""&amp;DATA_PROVENANCE!F37,"")</f>
        <v/>
      </c>
      <c r="G40" s="273">
        <f>IF(A40&lt;&gt;"",""&amp;DATA_PROVENANCE!G37,"")</f>
        <v/>
      </c>
    </row>
    <row r="41" ht="15.75" customHeight="1" s="132">
      <c r="A41" s="273">
        <f>IF(DATA_PROVENANCE!A38&lt;&gt;"",""&amp;DATA_PROVENANCE!A38,"")</f>
        <v/>
      </c>
      <c r="B41" s="273">
        <f>IF(A41&lt;&gt;"",""&amp;DATA_PROVENANCE!B38,"")</f>
        <v/>
      </c>
      <c r="C41" s="273">
        <f>IF(A41&lt;&gt;"",""&amp;DATA_PROVENANCE!C38,"")</f>
        <v/>
      </c>
      <c r="D41" s="273">
        <f>IF(A41&lt;&gt;"",""&amp;DATA_PROVENANCE!D38,"")</f>
        <v/>
      </c>
      <c r="E41" s="273">
        <f>IF(A41&lt;&gt;"",DATA_PROVENANCE!E38,"")</f>
        <v/>
      </c>
      <c r="F41" s="273">
        <f>IF(A41&lt;&gt;"",""&amp;DATA_PROVENANCE!F38,"")</f>
        <v/>
      </c>
      <c r="G41" s="273">
        <f>IF(A41&lt;&gt;"",""&amp;DATA_PROVENANCE!G38,"")</f>
        <v/>
      </c>
    </row>
    <row r="42" ht="15.75" customHeight="1" s="132">
      <c r="A42" s="273">
        <f>IF(DATA_PROVENANCE!A39&lt;&gt;"",""&amp;DATA_PROVENANCE!A39,"")</f>
        <v/>
      </c>
      <c r="B42" s="273">
        <f>IF(A42&lt;&gt;"",""&amp;DATA_PROVENANCE!B39,"")</f>
        <v/>
      </c>
      <c r="C42" s="273">
        <f>IF(A42&lt;&gt;"",""&amp;DATA_PROVENANCE!C39,"")</f>
        <v/>
      </c>
      <c r="D42" s="273">
        <f>IF(A42&lt;&gt;"",""&amp;DATA_PROVENANCE!D39,"")</f>
        <v/>
      </c>
      <c r="E42" s="273">
        <f>IF(A42&lt;&gt;"",DATA_PROVENANCE!E39,"")</f>
        <v/>
      </c>
      <c r="F42" s="273">
        <f>IF(A42&lt;&gt;"",""&amp;DATA_PROVENANCE!F39,"")</f>
        <v/>
      </c>
      <c r="G42" s="273">
        <f>IF(A42&lt;&gt;"",""&amp;DATA_PROVENANCE!G39,"")</f>
        <v/>
      </c>
    </row>
    <row r="43" ht="15.75" customHeight="1" s="132">
      <c r="A43" s="273">
        <f>IF(DATA_PROVENANCE!A40&lt;&gt;"",""&amp;DATA_PROVENANCE!A40,"")</f>
        <v/>
      </c>
      <c r="B43" s="273">
        <f>IF(A43&lt;&gt;"",""&amp;DATA_PROVENANCE!B40,"")</f>
        <v/>
      </c>
      <c r="C43" s="273">
        <f>IF(A43&lt;&gt;"",""&amp;DATA_PROVENANCE!C40,"")</f>
        <v/>
      </c>
      <c r="D43" s="273">
        <f>IF(A43&lt;&gt;"",""&amp;DATA_PROVENANCE!D40,"")</f>
        <v/>
      </c>
      <c r="E43" s="273">
        <f>IF(A43&lt;&gt;"",DATA_PROVENANCE!E40,"")</f>
        <v/>
      </c>
      <c r="F43" s="273">
        <f>IF(A43&lt;&gt;"",""&amp;DATA_PROVENANCE!F40,"")</f>
        <v/>
      </c>
      <c r="G43" s="273">
        <f>IF(A43&lt;&gt;"",""&amp;DATA_PROVENANCE!G40,"")</f>
        <v/>
      </c>
    </row>
    <row r="44" ht="15.75" customHeight="1" s="132">
      <c r="A44" s="273">
        <f>IF(DATA_PROVENANCE!A41&lt;&gt;"",""&amp;DATA_PROVENANCE!A41,"")</f>
        <v/>
      </c>
      <c r="B44" s="273">
        <f>IF(A44&lt;&gt;"",""&amp;DATA_PROVENANCE!B41,"")</f>
        <v/>
      </c>
      <c r="C44" s="273">
        <f>IF(A44&lt;&gt;"",""&amp;DATA_PROVENANCE!C41,"")</f>
        <v/>
      </c>
      <c r="D44" s="273">
        <f>IF(A44&lt;&gt;"",""&amp;DATA_PROVENANCE!D41,"")</f>
        <v/>
      </c>
      <c r="E44" s="273">
        <f>IF(A44&lt;&gt;"",DATA_PROVENANCE!E41,"")</f>
        <v/>
      </c>
      <c r="F44" s="273">
        <f>IF(A44&lt;&gt;"",""&amp;DATA_PROVENANCE!F41,"")</f>
        <v/>
      </c>
      <c r="G44" s="273">
        <f>IF(A44&lt;&gt;"",""&amp;DATA_PROVENANCE!G41,"")</f>
        <v/>
      </c>
    </row>
    <row r="45" ht="15.75" customHeight="1" s="132">
      <c r="A45" s="273">
        <f>IF(DATA_PROVENANCE!A42&lt;&gt;"",""&amp;DATA_PROVENANCE!A42,"")</f>
        <v/>
      </c>
      <c r="B45" s="273">
        <f>IF(A45&lt;&gt;"",""&amp;DATA_PROVENANCE!B42,"")</f>
        <v/>
      </c>
      <c r="C45" s="273">
        <f>IF(A45&lt;&gt;"",""&amp;DATA_PROVENANCE!C42,"")</f>
        <v/>
      </c>
      <c r="D45" s="273">
        <f>IF(A45&lt;&gt;"",""&amp;DATA_PROVENANCE!D42,"")</f>
        <v/>
      </c>
      <c r="E45" s="273">
        <f>IF(A45&lt;&gt;"",DATA_PROVENANCE!E42,"")</f>
        <v/>
      </c>
      <c r="F45" s="273">
        <f>IF(A45&lt;&gt;"",""&amp;DATA_PROVENANCE!F42,"")</f>
        <v/>
      </c>
      <c r="G45" s="273">
        <f>IF(A45&lt;&gt;"",""&amp;DATA_PROVENANCE!G42,"")</f>
        <v/>
      </c>
    </row>
    <row r="46" ht="15.75" customHeight="1" s="132">
      <c r="A46" s="273">
        <f>IF(DATA_PROVENANCE!A43&lt;&gt;"",""&amp;DATA_PROVENANCE!A43,"")</f>
        <v/>
      </c>
      <c r="B46" s="273">
        <f>IF(A46&lt;&gt;"",""&amp;DATA_PROVENANCE!B43,"")</f>
        <v/>
      </c>
      <c r="C46" s="273">
        <f>IF(A46&lt;&gt;"",""&amp;DATA_PROVENANCE!C43,"")</f>
        <v/>
      </c>
      <c r="D46" s="273">
        <f>IF(A46&lt;&gt;"",""&amp;DATA_PROVENANCE!D43,"")</f>
        <v/>
      </c>
      <c r="E46" s="273">
        <f>IF(A46&lt;&gt;"",DATA_PROVENANCE!E43,"")</f>
        <v/>
      </c>
      <c r="F46" s="273">
        <f>IF(A46&lt;&gt;"",""&amp;DATA_PROVENANCE!F43,"")</f>
        <v/>
      </c>
      <c r="G46" s="273">
        <f>IF(A46&lt;&gt;"",""&amp;DATA_PROVENANCE!G43,"")</f>
        <v/>
      </c>
    </row>
    <row r="47" ht="15.75" customHeight="1" s="132">
      <c r="A47" s="273">
        <f>IF(DATA_PROVENANCE!A44&lt;&gt;"",""&amp;DATA_PROVENANCE!A44,"")</f>
        <v/>
      </c>
      <c r="B47" s="273">
        <f>IF(A47&lt;&gt;"",""&amp;DATA_PROVENANCE!B44,"")</f>
        <v/>
      </c>
      <c r="C47" s="273">
        <f>IF(A47&lt;&gt;"",""&amp;DATA_PROVENANCE!C44,"")</f>
        <v/>
      </c>
      <c r="D47" s="273">
        <f>IF(A47&lt;&gt;"",""&amp;DATA_PROVENANCE!D44,"")</f>
        <v/>
      </c>
      <c r="E47" s="273">
        <f>IF(A47&lt;&gt;"",DATA_PROVENANCE!E44,"")</f>
        <v/>
      </c>
      <c r="F47" s="273">
        <f>IF(A47&lt;&gt;"",""&amp;DATA_PROVENANCE!F44,"")</f>
        <v/>
      </c>
      <c r="G47" s="273">
        <f>IF(A47&lt;&gt;"",""&amp;DATA_PROVENANCE!G44,"")</f>
        <v/>
      </c>
    </row>
    <row r="48" ht="15.75" customHeight="1" s="132">
      <c r="A48" s="273">
        <f>IF(DATA_PROVENANCE!A45&lt;&gt;"",""&amp;DATA_PROVENANCE!A45,"")</f>
        <v/>
      </c>
      <c r="B48" s="273">
        <f>IF(A48&lt;&gt;"",""&amp;DATA_PROVENANCE!B45,"")</f>
        <v/>
      </c>
      <c r="C48" s="273">
        <f>IF(A48&lt;&gt;"",""&amp;DATA_PROVENANCE!C45,"")</f>
        <v/>
      </c>
      <c r="D48" s="273">
        <f>IF(A48&lt;&gt;"",""&amp;DATA_PROVENANCE!D45,"")</f>
        <v/>
      </c>
      <c r="E48" s="273">
        <f>IF(A48&lt;&gt;"",DATA_PROVENANCE!E45,"")</f>
        <v/>
      </c>
      <c r="F48" s="273">
        <f>IF(A48&lt;&gt;"",""&amp;DATA_PROVENANCE!F45,"")</f>
        <v/>
      </c>
      <c r="G48" s="273">
        <f>IF(A48&lt;&gt;"",""&amp;DATA_PROVENANCE!G45,"")</f>
        <v/>
      </c>
    </row>
    <row r="49" ht="15.75" customHeight="1" s="132">
      <c r="A49" s="273">
        <f>IF(DATA_PROVENANCE!A46&lt;&gt;"",""&amp;DATA_PROVENANCE!A46,"")</f>
        <v/>
      </c>
      <c r="B49" s="273">
        <f>IF(A49&lt;&gt;"",""&amp;DATA_PROVENANCE!B46,"")</f>
        <v/>
      </c>
      <c r="C49" s="273">
        <f>IF(A49&lt;&gt;"",""&amp;DATA_PROVENANCE!C46,"")</f>
        <v/>
      </c>
      <c r="D49" s="273">
        <f>IF(A49&lt;&gt;"",""&amp;DATA_PROVENANCE!D46,"")</f>
        <v/>
      </c>
      <c r="E49" s="273">
        <f>IF(A49&lt;&gt;"",DATA_PROVENANCE!E46,"")</f>
        <v/>
      </c>
      <c r="F49" s="273">
        <f>IF(A49&lt;&gt;"",""&amp;DATA_PROVENANCE!F46,"")</f>
        <v/>
      </c>
      <c r="G49" s="273">
        <f>IF(A49&lt;&gt;"",""&amp;DATA_PROVENANCE!G46,"")</f>
        <v/>
      </c>
    </row>
    <row r="50" ht="15.75" customHeight="1" s="132">
      <c r="A50" s="273">
        <f>IF(DATA_PROVENANCE!A47&lt;&gt;"",""&amp;DATA_PROVENANCE!A47,"")</f>
        <v/>
      </c>
      <c r="B50" s="273">
        <f>IF(A50&lt;&gt;"",""&amp;DATA_PROVENANCE!B47,"")</f>
        <v/>
      </c>
      <c r="C50" s="273">
        <f>IF(A50&lt;&gt;"",""&amp;DATA_PROVENANCE!C47,"")</f>
        <v/>
      </c>
      <c r="D50" s="273">
        <f>IF(A50&lt;&gt;"",""&amp;DATA_PROVENANCE!D47,"")</f>
        <v/>
      </c>
      <c r="E50" s="273">
        <f>IF(A50&lt;&gt;"",DATA_PROVENANCE!E47,"")</f>
        <v/>
      </c>
      <c r="F50" s="273">
        <f>IF(A50&lt;&gt;"",""&amp;DATA_PROVENANCE!F47,"")</f>
        <v/>
      </c>
      <c r="G50" s="273">
        <f>IF(A50&lt;&gt;"",""&amp;DATA_PROVENANCE!G47,"")</f>
        <v/>
      </c>
    </row>
    <row r="51" ht="15.75" customHeight="1" s="132">
      <c r="A51" s="273">
        <f>IF(DATA_PROVENANCE!A48&lt;&gt;"",""&amp;DATA_PROVENANCE!A48,"")</f>
        <v/>
      </c>
      <c r="B51" s="273">
        <f>IF(A51&lt;&gt;"",""&amp;DATA_PROVENANCE!B48,"")</f>
        <v/>
      </c>
      <c r="C51" s="273">
        <f>IF(A51&lt;&gt;"",""&amp;DATA_PROVENANCE!C48,"")</f>
        <v/>
      </c>
      <c r="D51" s="273">
        <f>IF(A51&lt;&gt;"",""&amp;DATA_PROVENANCE!D48,"")</f>
        <v/>
      </c>
      <c r="E51" s="273">
        <f>IF(A51&lt;&gt;"",DATA_PROVENANCE!E48,"")</f>
        <v/>
      </c>
      <c r="F51" s="273">
        <f>IF(A51&lt;&gt;"",""&amp;DATA_PROVENANCE!F48,"")</f>
        <v/>
      </c>
      <c r="G51" s="273">
        <f>IF(A51&lt;&gt;"",""&amp;DATA_PROVENANCE!G48,"")</f>
        <v/>
      </c>
    </row>
    <row r="52" ht="15.75" customHeight="1" s="132">
      <c r="A52" s="273">
        <f>IF(DATA_PROVENANCE!A49&lt;&gt;"",""&amp;DATA_PROVENANCE!A49,"")</f>
        <v/>
      </c>
      <c r="B52" s="273">
        <f>IF(A52&lt;&gt;"",""&amp;DATA_PROVENANCE!B49,"")</f>
        <v/>
      </c>
      <c r="C52" s="273">
        <f>IF(A52&lt;&gt;"",""&amp;DATA_PROVENANCE!C49,"")</f>
        <v/>
      </c>
      <c r="D52" s="273">
        <f>IF(A52&lt;&gt;"",""&amp;DATA_PROVENANCE!D49,"")</f>
        <v/>
      </c>
      <c r="E52" s="273">
        <f>IF(A52&lt;&gt;"",DATA_PROVENANCE!E49,"")</f>
        <v/>
      </c>
      <c r="F52" s="273">
        <f>IF(A52&lt;&gt;"",""&amp;DATA_PROVENANCE!F49,"")</f>
        <v/>
      </c>
      <c r="G52" s="273">
        <f>IF(A52&lt;&gt;"",""&amp;DATA_PROVENANCE!G49,"")</f>
        <v/>
      </c>
    </row>
    <row r="53" ht="15.75" customHeight="1" s="132">
      <c r="A53" s="273">
        <f>IF(DATA_PROVENANCE!A50&lt;&gt;"",""&amp;DATA_PROVENANCE!A50,"")</f>
        <v/>
      </c>
      <c r="B53" s="273">
        <f>IF(A53&lt;&gt;"",""&amp;DATA_PROVENANCE!B50,"")</f>
        <v/>
      </c>
      <c r="C53" s="273">
        <f>IF(A53&lt;&gt;"",""&amp;DATA_PROVENANCE!C50,"")</f>
        <v/>
      </c>
      <c r="D53" s="273">
        <f>IF(A53&lt;&gt;"",""&amp;DATA_PROVENANCE!D50,"")</f>
        <v/>
      </c>
      <c r="E53" s="273">
        <f>IF(A53&lt;&gt;"",DATA_PROVENANCE!E50,"")</f>
        <v/>
      </c>
      <c r="F53" s="273">
        <f>IF(A53&lt;&gt;"",""&amp;DATA_PROVENANCE!F50,"")</f>
        <v/>
      </c>
      <c r="G53" s="273">
        <f>IF(A53&lt;&gt;"",""&amp;DATA_PROVENANCE!G50,"")</f>
        <v/>
      </c>
    </row>
    <row r="54" ht="15.75" customHeight="1" s="132">
      <c r="A54" s="273">
        <f>IF(DATA_PROVENANCE!A51&lt;&gt;"",""&amp;DATA_PROVENANCE!A51,"")</f>
        <v/>
      </c>
      <c r="B54" s="273">
        <f>IF(A54&lt;&gt;"",""&amp;DATA_PROVENANCE!B51,"")</f>
        <v/>
      </c>
      <c r="C54" s="273">
        <f>IF(A54&lt;&gt;"",""&amp;DATA_PROVENANCE!C51,"")</f>
        <v/>
      </c>
      <c r="D54" s="273">
        <f>IF(A54&lt;&gt;"",""&amp;DATA_PROVENANCE!D51,"")</f>
        <v/>
      </c>
      <c r="E54" s="273">
        <f>IF(A54&lt;&gt;"",DATA_PROVENANCE!E51,"")</f>
        <v/>
      </c>
      <c r="F54" s="273">
        <f>IF(A54&lt;&gt;"",""&amp;DATA_PROVENANCE!F51,"")</f>
        <v/>
      </c>
      <c r="G54" s="273">
        <f>IF(A54&lt;&gt;"",""&amp;DATA_PROVENANCE!G51,"")</f>
        <v/>
      </c>
    </row>
    <row r="55" ht="15.75" customHeight="1" s="132"/>
    <row r="56" ht="15.75" customHeight="1" s="132"/>
    <row r="57" ht="15.75" customHeight="1" s="132"/>
    <row r="58" ht="15.75" customHeight="1" s="132"/>
    <row r="59" ht="15.75" customHeight="1" s="132"/>
    <row r="60" ht="15.75" customHeight="1" s="132"/>
    <row r="61" ht="15.75" customHeight="1" s="132"/>
    <row r="62" ht="15.75" customHeight="1" s="132"/>
    <row r="63" ht="15.75" customHeight="1" s="132"/>
    <row r="64" ht="15.75" customHeight="1" s="132"/>
    <row r="65" ht="15.75" customHeight="1" s="132"/>
    <row r="66" ht="15.75" customHeight="1" s="132"/>
    <row r="67" ht="15.75" customHeight="1" s="132"/>
    <row r="68" ht="15.75" customHeight="1" s="132"/>
    <row r="69" ht="15.75" customHeight="1" s="132"/>
    <row r="70" ht="15.75" customHeight="1" s="132"/>
    <row r="71" ht="15.75" customHeight="1" s="132"/>
    <row r="72" ht="15.75" customHeight="1" s="132"/>
    <row r="73" ht="15.75" customHeight="1" s="132"/>
    <row r="74" ht="15.75" customHeight="1" s="132"/>
    <row r="75" ht="15.75" customHeight="1" s="132"/>
    <row r="76" ht="15.75" customHeight="1" s="132"/>
    <row r="77" ht="15.75" customHeight="1" s="132"/>
    <row r="78" ht="15.75" customHeight="1" s="132"/>
    <row r="79" ht="15.75" customHeight="1" s="132"/>
    <row r="80" ht="15.75" customHeight="1" s="132"/>
    <row r="81" ht="15.75" customHeight="1" s="132"/>
    <row r="82" ht="15.75" customHeight="1" s="132"/>
    <row r="83" ht="15.75" customHeight="1" s="132"/>
    <row r="84" ht="15.75" customHeight="1" s="132"/>
    <row r="85" ht="15.75" customHeight="1" s="132"/>
    <row r="86" ht="15.75" customHeight="1" s="132"/>
    <row r="87" ht="15.75" customHeight="1" s="132"/>
    <row r="88" ht="15.75" customHeight="1" s="132"/>
    <row r="89" ht="15.75" customHeight="1" s="132"/>
    <row r="90" ht="15.75" customHeight="1" s="132"/>
    <row r="91" ht="15.75" customHeight="1" s="132"/>
    <row r="92" ht="15.75" customHeight="1" s="132"/>
    <row r="93" ht="15.75" customHeight="1" s="132"/>
    <row r="94" ht="15.75" customHeight="1" s="132"/>
    <row r="95" ht="15.75" customHeight="1" s="132"/>
    <row r="96" ht="15.75" customHeight="1" s="132"/>
    <row r="97" ht="15.75" customHeight="1" s="132"/>
    <row r="98" ht="15.75" customHeight="1" s="132"/>
    <row r="99" ht="15.75" customHeight="1" s="132"/>
    <row r="100" ht="15.75" customHeight="1" s="132"/>
    <row r="101" ht="15.75" customHeight="1" s="132"/>
    <row r="102" ht="15.75" customHeight="1" s="132"/>
    <row r="103" ht="15.75" customHeight="1" s="132"/>
    <row r="104" ht="15.75" customHeight="1" s="132"/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autoFilter ref="$A$4:$G$13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 outlineLevelRow="2"/>
  <cols>
    <col width="18" customWidth="1" style="132" min="1" max="1"/>
    <col width="14" customWidth="1" style="132" min="2" max="2"/>
    <col width="36" customWidth="1" style="132" min="3" max="3"/>
    <col width="18" customWidth="1" style="132" min="4" max="4"/>
    <col width="24" customWidth="1" style="132" min="5" max="5"/>
    <col width="16" customWidth="1" style="132" min="6" max="6"/>
    <col width="55" customWidth="1" style="132" min="7" max="7"/>
    <col width="40" customWidth="1" style="132" min="8" max="8"/>
    <col width="30" customWidth="1" style="132" min="9" max="9"/>
    <col width="8.710000000000001" customWidth="1" style="132" min="10" max="26"/>
  </cols>
  <sheetData>
    <row r="1">
      <c r="A1" s="175" t="inlineStr">
        <is>
          <t>RESEARCH INTELLIGENCE ENGINE (RIE) — HUMAN DECISION LOG</t>
        </is>
      </c>
      <c r="H1" s="260">
        <f>HYPERLINK("#'01_Executive_Dashboard'!A1", "⮌ BACK TO DASHBOARD")</f>
        <v/>
      </c>
    </row>
    <row r="2">
      <c r="A2" s="261">
        <f>"Pillar 7: Ratified Human Decisions &amp; Sovereign Architecture Decrees (" &amp; COUNTA(DATA_DECISION_LOG!A2:A1000) &amp; " Decisions) | Human Architect Level 5 — Human Architect"</f>
        <v/>
      </c>
    </row>
    <row r="3"/>
    <row r="4">
      <c r="A4" s="262" t="inlineStr">
        <is>
          <t>Decision_ID</t>
        </is>
      </c>
      <c r="B4" s="262" t="inlineStr">
        <is>
          <t>Queue_ID</t>
        </is>
      </c>
      <c r="C4" s="262" t="inlineStr">
        <is>
          <t>Subject_Object</t>
        </is>
      </c>
      <c r="D4" s="262" t="inlineStr">
        <is>
          <t>Human_Decision</t>
        </is>
      </c>
      <c r="E4" s="262" t="inlineStr">
        <is>
          <t>Ratified_Status</t>
        </is>
      </c>
      <c r="F4" s="262" t="inlineStr">
        <is>
          <t>Decision_Date</t>
        </is>
      </c>
      <c r="G4" s="262" t="inlineStr">
        <is>
          <t>Architect_Remark</t>
        </is>
      </c>
      <c r="H4" s="262" t="inlineStr">
        <is>
          <t>Authority_Ref</t>
        </is>
      </c>
      <c r="I4" s="212" t="inlineStr">
        <is>
          <t>Review_Queue_Link</t>
        </is>
      </c>
    </row>
    <row r="5">
      <c r="A5" s="305">
        <f>IF(DATA_DECISION_LOG!A2&lt;&gt;"",""&amp;DATA_DECISION_LOG!A2,"")</f>
        <v/>
      </c>
      <c r="B5" s="305">
        <f>IF(A5&lt;&gt;"",""&amp;DATA_DECISION_LOG!B2,"")</f>
        <v/>
      </c>
      <c r="C5" s="306">
        <f>IF(A5&lt;&gt;"",""&amp;DATA_DECISION_LOG!C2,"")</f>
        <v/>
      </c>
      <c r="D5" s="307">
        <f>IF(A5&lt;&gt;"",""&amp;DATA_DECISION_LOG!D2,"")</f>
        <v/>
      </c>
      <c r="E5" s="305">
        <f>IF(A5&lt;&gt;"",""&amp;DATA_DECISION_LOG!E2,"")</f>
        <v/>
      </c>
      <c r="F5" s="305">
        <f>IF(A5&lt;&gt;"",""&amp;DATA_DECISION_LOG!F2,"")</f>
        <v/>
      </c>
      <c r="G5" s="306">
        <f>IF(A5&lt;&gt;"",""&amp;DATA_DECISION_LOG!G2,"")</f>
        <v/>
      </c>
      <c r="H5" s="306">
        <f>IF(A5&lt;&gt;"",""&amp;DATA_DECISION_LOG!H2,"")</f>
        <v/>
      </c>
      <c r="I5" s="280">
        <f>HYPERLINK("#'05_Knowledge_Frontier'!A" &amp; MATCH("Q-001", '05_Knowledge_Frontier'!A:A, 0), "➔ Inspect Review Item (Q-001)")</f>
        <v/>
      </c>
    </row>
    <row r="6">
      <c r="A6" s="305">
        <f>IF(DATA_DECISION_LOG!A3&lt;&gt;"",""&amp;DATA_DECISION_LOG!A3,"")</f>
        <v/>
      </c>
      <c r="B6" s="305">
        <f>IF(A6&lt;&gt;"",""&amp;DATA_DECISION_LOG!B3,"")</f>
        <v/>
      </c>
      <c r="C6" s="306">
        <f>IF(A6&lt;&gt;"",""&amp;DATA_DECISION_LOG!C3,"")</f>
        <v/>
      </c>
      <c r="D6" s="307">
        <f>IF(A6&lt;&gt;"",""&amp;DATA_DECISION_LOG!D3,"")</f>
        <v/>
      </c>
      <c r="E6" s="305">
        <f>IF(A6&lt;&gt;"",""&amp;DATA_DECISION_LOG!E3,"")</f>
        <v/>
      </c>
      <c r="F6" s="305">
        <f>IF(A6&lt;&gt;"",""&amp;DATA_DECISION_LOG!F3,"")</f>
        <v/>
      </c>
      <c r="G6" s="306">
        <f>IF(A6&lt;&gt;"",""&amp;DATA_DECISION_LOG!G3,"")</f>
        <v/>
      </c>
      <c r="H6" s="306">
        <f>IF(A6&lt;&gt;"",""&amp;DATA_DECISION_LOG!H3,"")</f>
        <v/>
      </c>
      <c r="I6" s="280">
        <f>HYPERLINK("#'05_Knowledge_Frontier'!A" &amp; MATCH("Q-002", '05_Knowledge_Frontier'!A:A, 0), "➔ Inspect Review Item (Q-002)")</f>
        <v/>
      </c>
    </row>
    <row r="7">
      <c r="A7" s="305">
        <f>IF(DATA_DECISION_LOG!A4&lt;&gt;"",""&amp;DATA_DECISION_LOG!A4,"")</f>
        <v/>
      </c>
      <c r="B7" s="305">
        <f>IF(A7&lt;&gt;"",""&amp;DATA_DECISION_LOG!B4,"")</f>
        <v/>
      </c>
      <c r="C7" s="306">
        <f>IF(A7&lt;&gt;"",""&amp;DATA_DECISION_LOG!C4,"")</f>
        <v/>
      </c>
      <c r="D7" s="307">
        <f>IF(A7&lt;&gt;"",""&amp;DATA_DECISION_LOG!D4,"")</f>
        <v/>
      </c>
      <c r="E7" s="305">
        <f>IF(A7&lt;&gt;"",""&amp;DATA_DECISION_LOG!E4,"")</f>
        <v/>
      </c>
      <c r="F7" s="305">
        <f>IF(A7&lt;&gt;"",""&amp;DATA_DECISION_LOG!F4,"")</f>
        <v/>
      </c>
      <c r="G7" s="306">
        <f>IF(A7&lt;&gt;"",""&amp;DATA_DECISION_LOG!G4,"")</f>
        <v/>
      </c>
      <c r="H7" s="306">
        <f>IF(A7&lt;&gt;"",""&amp;DATA_DECISION_LOG!H4,"")</f>
        <v/>
      </c>
      <c r="I7" s="280">
        <f>HYPERLINK("#'05_Knowledge_Frontier'!A" &amp; MATCH("Q-003", '05_Knowledge_Frontier'!A:A, 0), "➔ Inspect Review Item (Q-003)")</f>
        <v/>
      </c>
    </row>
    <row r="8">
      <c r="A8" s="305">
        <f>IF(DATA_DECISION_LOG!A5&lt;&gt;"",""&amp;DATA_DECISION_LOG!A5,"")</f>
        <v/>
      </c>
      <c r="B8" s="305">
        <f>IF(A8&lt;&gt;"",""&amp;DATA_DECISION_LOG!B5,"")</f>
        <v/>
      </c>
      <c r="C8" s="306">
        <f>IF(A8&lt;&gt;"",""&amp;DATA_DECISION_LOG!C5,"")</f>
        <v/>
      </c>
      <c r="D8" s="308">
        <f>IF(A8&lt;&gt;"",""&amp;DATA_DECISION_LOG!D5,"")</f>
        <v/>
      </c>
      <c r="E8" s="305">
        <f>IF(A8&lt;&gt;"",""&amp;DATA_DECISION_LOG!E5,"")</f>
        <v/>
      </c>
      <c r="F8" s="305">
        <f>IF(A8&lt;&gt;"",""&amp;DATA_DECISION_LOG!F5,"")</f>
        <v/>
      </c>
      <c r="G8" s="306">
        <f>IF(A8&lt;&gt;"",""&amp;DATA_DECISION_LOG!G5,"")</f>
        <v/>
      </c>
      <c r="H8" s="306">
        <f>IF(A8&lt;&gt;"",""&amp;DATA_DECISION_LOG!H5,"")</f>
        <v/>
      </c>
      <c r="I8" s="280">
        <f>HYPERLINK("#'05_Knowledge_Frontier'!A" &amp; MATCH("Q-004", '05_Knowledge_Frontier'!A:A, 0), "➔ Inspect Review Item (Q-004)")</f>
        <v/>
      </c>
    </row>
    <row r="9">
      <c r="A9" s="273">
        <f>IF(DATA_DECISION_LOG!A6&lt;&gt;"",""&amp;DATA_DECISION_LOG!A6,"")</f>
        <v/>
      </c>
      <c r="B9" s="273">
        <f>IF(A9&lt;&gt;"",""&amp;DATA_DECISION_LOG!B6,"")</f>
        <v/>
      </c>
      <c r="C9" s="273">
        <f>IF(A9&lt;&gt;"",""&amp;DATA_DECISION_LOG!C6,"")</f>
        <v/>
      </c>
      <c r="D9" s="273">
        <f>IF(A9&lt;&gt;"",""&amp;DATA_DECISION_LOG!D6,"")</f>
        <v/>
      </c>
      <c r="E9" s="273">
        <f>IF(A9&lt;&gt;"",""&amp;DATA_DECISION_LOG!E6,"")</f>
        <v/>
      </c>
      <c r="F9" s="273">
        <f>IF(A9&lt;&gt;"",""&amp;DATA_DECISION_LOG!F6,"")</f>
        <v/>
      </c>
      <c r="G9" s="273">
        <f>IF(A9&lt;&gt;"",""&amp;DATA_DECISION_LOG!G6,"")</f>
        <v/>
      </c>
      <c r="H9" s="273">
        <f>IF(A9&lt;&gt;"",""&amp;DATA_DECISION_LOG!H6,"")</f>
        <v/>
      </c>
    </row>
    <row r="10">
      <c r="A10" s="273">
        <f>IF(DATA_DECISION_LOG!A7&lt;&gt;"",""&amp;DATA_DECISION_LOG!A7,"")</f>
        <v/>
      </c>
      <c r="B10" s="273">
        <f>IF(A10&lt;&gt;"",""&amp;DATA_DECISION_LOG!B7,"")</f>
        <v/>
      </c>
      <c r="C10" s="273">
        <f>IF(A10&lt;&gt;"",""&amp;DATA_DECISION_LOG!C7,"")</f>
        <v/>
      </c>
      <c r="D10" s="273">
        <f>IF(A10&lt;&gt;"",""&amp;DATA_DECISION_LOG!D7,"")</f>
        <v/>
      </c>
      <c r="E10" s="273">
        <f>IF(A10&lt;&gt;"",""&amp;DATA_DECISION_LOG!E7,"")</f>
        <v/>
      </c>
      <c r="F10" s="273">
        <f>IF(A10&lt;&gt;"",""&amp;DATA_DECISION_LOG!F7,"")</f>
        <v/>
      </c>
      <c r="G10" s="273">
        <f>IF(A10&lt;&gt;"",""&amp;DATA_DECISION_LOG!G7,"")</f>
        <v/>
      </c>
      <c r="H10" s="273">
        <f>IF(A10&lt;&gt;"",""&amp;DATA_DECISION_LOG!H7,"")</f>
        <v/>
      </c>
    </row>
    <row r="11">
      <c r="A11" s="273">
        <f>IF(DATA_DECISION_LOG!A8&lt;&gt;"",""&amp;DATA_DECISION_LOG!A8,"")</f>
        <v/>
      </c>
      <c r="B11" s="273">
        <f>IF(A11&lt;&gt;"",""&amp;DATA_DECISION_LOG!B8,"")</f>
        <v/>
      </c>
      <c r="C11" s="273">
        <f>IF(A11&lt;&gt;"",""&amp;DATA_DECISION_LOG!C8,"")</f>
        <v/>
      </c>
      <c r="D11" s="273">
        <f>IF(A11&lt;&gt;"",""&amp;DATA_DECISION_LOG!D8,"")</f>
        <v/>
      </c>
      <c r="E11" s="273">
        <f>IF(A11&lt;&gt;"",""&amp;DATA_DECISION_LOG!E8,"")</f>
        <v/>
      </c>
      <c r="F11" s="273">
        <f>IF(A11&lt;&gt;"",""&amp;DATA_DECISION_LOG!F8,"")</f>
        <v/>
      </c>
      <c r="G11" s="273">
        <f>IF(A11&lt;&gt;"",""&amp;DATA_DECISION_LOG!G8,"")</f>
        <v/>
      </c>
      <c r="H11" s="273">
        <f>IF(A11&lt;&gt;"",""&amp;DATA_DECISION_LOG!H8,"")</f>
        <v/>
      </c>
    </row>
    <row r="12">
      <c r="A12" s="273">
        <f>IF(DATA_DECISION_LOG!A9&lt;&gt;"",""&amp;DATA_DECISION_LOG!A9,"")</f>
        <v/>
      </c>
      <c r="B12" s="273">
        <f>IF(A12&lt;&gt;"",""&amp;DATA_DECISION_LOG!B9,"")</f>
        <v/>
      </c>
      <c r="C12" s="273">
        <f>IF(A12&lt;&gt;"",""&amp;DATA_DECISION_LOG!C9,"")</f>
        <v/>
      </c>
      <c r="D12" s="273">
        <f>IF(A12&lt;&gt;"",""&amp;DATA_DECISION_LOG!D9,"")</f>
        <v/>
      </c>
      <c r="E12" s="273">
        <f>IF(A12&lt;&gt;"",""&amp;DATA_DECISION_LOG!E9,"")</f>
        <v/>
      </c>
      <c r="F12" s="273">
        <f>IF(A12&lt;&gt;"",""&amp;DATA_DECISION_LOG!F9,"")</f>
        <v/>
      </c>
      <c r="G12" s="273">
        <f>IF(A12&lt;&gt;"",""&amp;DATA_DECISION_LOG!G9,"")</f>
        <v/>
      </c>
      <c r="H12" s="273">
        <f>IF(A12&lt;&gt;"",""&amp;DATA_DECISION_LOG!H9,"")</f>
        <v/>
      </c>
    </row>
    <row r="13">
      <c r="A13" s="273">
        <f>IF(DATA_DECISION_LOG!A10&lt;&gt;"",""&amp;DATA_DECISION_LOG!A10,"")</f>
        <v/>
      </c>
      <c r="B13" s="273">
        <f>IF(A13&lt;&gt;"",""&amp;DATA_DECISION_LOG!B10,"")</f>
        <v/>
      </c>
      <c r="C13" s="273">
        <f>IF(A13&lt;&gt;"",""&amp;DATA_DECISION_LOG!C10,"")</f>
        <v/>
      </c>
      <c r="D13" s="273">
        <f>IF(A13&lt;&gt;"",""&amp;DATA_DECISION_LOG!D10,"")</f>
        <v/>
      </c>
      <c r="E13" s="273">
        <f>IF(A13&lt;&gt;"",""&amp;DATA_DECISION_LOG!E10,"")</f>
        <v/>
      </c>
      <c r="F13" s="273">
        <f>IF(A13&lt;&gt;"",""&amp;DATA_DECISION_LOG!F10,"")</f>
        <v/>
      </c>
      <c r="G13" s="273">
        <f>IF(A13&lt;&gt;"",""&amp;DATA_DECISION_LOG!G10,"")</f>
        <v/>
      </c>
      <c r="H13" s="273">
        <f>IF(A13&lt;&gt;"",""&amp;DATA_DECISION_LOG!H10,"")</f>
        <v/>
      </c>
    </row>
    <row r="14">
      <c r="A14" s="273">
        <f>IF(DATA_DECISION_LOG!A11&lt;&gt;"",""&amp;DATA_DECISION_LOG!A11,"")</f>
        <v/>
      </c>
      <c r="B14" s="273">
        <f>IF(A14&lt;&gt;"",""&amp;DATA_DECISION_LOG!B11,"")</f>
        <v/>
      </c>
      <c r="C14" s="273">
        <f>IF(A14&lt;&gt;"",""&amp;DATA_DECISION_LOG!C11,"")</f>
        <v/>
      </c>
      <c r="D14" s="273">
        <f>IF(A14&lt;&gt;"",""&amp;DATA_DECISION_LOG!D11,"")</f>
        <v/>
      </c>
      <c r="E14" s="273">
        <f>IF(A14&lt;&gt;"",""&amp;DATA_DECISION_LOG!E11,"")</f>
        <v/>
      </c>
      <c r="F14" s="273">
        <f>IF(A14&lt;&gt;"",""&amp;DATA_DECISION_LOG!F11,"")</f>
        <v/>
      </c>
      <c r="G14" s="273">
        <f>IF(A14&lt;&gt;"",""&amp;DATA_DECISION_LOG!G11,"")</f>
        <v/>
      </c>
      <c r="H14" s="273">
        <f>IF(A14&lt;&gt;"",""&amp;DATA_DECISION_LOG!H11,"")</f>
        <v/>
      </c>
    </row>
    <row r="15">
      <c r="A15" s="273">
        <f>IF(DATA_DECISION_LOG!A12&lt;&gt;"",""&amp;DATA_DECISION_LOG!A12,"")</f>
        <v/>
      </c>
      <c r="B15" s="273">
        <f>IF(A15&lt;&gt;"",""&amp;DATA_DECISION_LOG!B12,"")</f>
        <v/>
      </c>
      <c r="C15" s="273">
        <f>IF(A15&lt;&gt;"",""&amp;DATA_DECISION_LOG!C12,"")</f>
        <v/>
      </c>
      <c r="D15" s="273">
        <f>IF(A15&lt;&gt;"",""&amp;DATA_DECISION_LOG!D12,"")</f>
        <v/>
      </c>
      <c r="E15" s="273">
        <f>IF(A15&lt;&gt;"",""&amp;DATA_DECISION_LOG!E12,"")</f>
        <v/>
      </c>
      <c r="F15" s="273">
        <f>IF(A15&lt;&gt;"",""&amp;DATA_DECISION_LOG!F12,"")</f>
        <v/>
      </c>
      <c r="G15" s="273">
        <f>IF(A15&lt;&gt;"",""&amp;DATA_DECISION_LOG!G12,"")</f>
        <v/>
      </c>
      <c r="H15" s="273">
        <f>IF(A15&lt;&gt;"",""&amp;DATA_DECISION_LOG!H12,"")</f>
        <v/>
      </c>
    </row>
    <row r="16">
      <c r="A16" s="273">
        <f>IF(DATA_DECISION_LOG!A13&lt;&gt;"",""&amp;DATA_DECISION_LOG!A13,"")</f>
        <v/>
      </c>
      <c r="B16" s="273">
        <f>IF(A16&lt;&gt;"",""&amp;DATA_DECISION_LOG!B13,"")</f>
        <v/>
      </c>
      <c r="C16" s="273">
        <f>IF(A16&lt;&gt;"",""&amp;DATA_DECISION_LOG!C13,"")</f>
        <v/>
      </c>
      <c r="D16" s="273">
        <f>IF(A16&lt;&gt;"",""&amp;DATA_DECISION_LOG!D13,"")</f>
        <v/>
      </c>
      <c r="E16" s="273">
        <f>IF(A16&lt;&gt;"",""&amp;DATA_DECISION_LOG!E13,"")</f>
        <v/>
      </c>
      <c r="F16" s="273">
        <f>IF(A16&lt;&gt;"",""&amp;DATA_DECISION_LOG!F13,"")</f>
        <v/>
      </c>
      <c r="G16" s="273">
        <f>IF(A16&lt;&gt;"",""&amp;DATA_DECISION_LOG!G13,"")</f>
        <v/>
      </c>
      <c r="H16" s="273">
        <f>IF(A16&lt;&gt;"",""&amp;DATA_DECISION_LOG!H13,"")</f>
        <v/>
      </c>
    </row>
    <row r="17">
      <c r="A17" s="273">
        <f>IF(DATA_DECISION_LOG!A14&lt;&gt;"",""&amp;DATA_DECISION_LOG!A14,"")</f>
        <v/>
      </c>
      <c r="B17" s="273">
        <f>IF(A17&lt;&gt;"",""&amp;DATA_DECISION_LOG!B14,"")</f>
        <v/>
      </c>
      <c r="C17" s="273">
        <f>IF(A17&lt;&gt;"",""&amp;DATA_DECISION_LOG!C14,"")</f>
        <v/>
      </c>
      <c r="D17" s="273">
        <f>IF(A17&lt;&gt;"",""&amp;DATA_DECISION_LOG!D14,"")</f>
        <v/>
      </c>
      <c r="E17" s="273">
        <f>IF(A17&lt;&gt;"",""&amp;DATA_DECISION_LOG!E14,"")</f>
        <v/>
      </c>
      <c r="F17" s="273">
        <f>IF(A17&lt;&gt;"",""&amp;DATA_DECISION_LOG!F14,"")</f>
        <v/>
      </c>
      <c r="G17" s="273">
        <f>IF(A17&lt;&gt;"",""&amp;DATA_DECISION_LOG!G14,"")</f>
        <v/>
      </c>
      <c r="H17" s="273">
        <f>IF(A17&lt;&gt;"",""&amp;DATA_DECISION_LOG!H14,"")</f>
        <v/>
      </c>
    </row>
    <row r="18">
      <c r="A18" s="273">
        <f>IF(DATA_DECISION_LOG!A15&lt;&gt;"",""&amp;DATA_DECISION_LOG!A15,"")</f>
        <v/>
      </c>
      <c r="B18" s="273">
        <f>IF(A18&lt;&gt;"",""&amp;DATA_DECISION_LOG!B15,"")</f>
        <v/>
      </c>
      <c r="C18" s="273">
        <f>IF(A18&lt;&gt;"",""&amp;DATA_DECISION_LOG!C15,"")</f>
        <v/>
      </c>
      <c r="D18" s="273">
        <f>IF(A18&lt;&gt;"",""&amp;DATA_DECISION_LOG!D15,"")</f>
        <v/>
      </c>
      <c r="E18" s="273">
        <f>IF(A18&lt;&gt;"",""&amp;DATA_DECISION_LOG!E15,"")</f>
        <v/>
      </c>
      <c r="F18" s="273">
        <f>IF(A18&lt;&gt;"",""&amp;DATA_DECISION_LOG!F15,"")</f>
        <v/>
      </c>
      <c r="G18" s="273">
        <f>IF(A18&lt;&gt;"",""&amp;DATA_DECISION_LOG!G15,"")</f>
        <v/>
      </c>
      <c r="H18" s="273">
        <f>IF(A18&lt;&gt;"",""&amp;DATA_DECISION_LOG!H15,"")</f>
        <v/>
      </c>
    </row>
    <row r="19">
      <c r="A19" s="273">
        <f>IF(DATA_DECISION_LOG!A16&lt;&gt;"",""&amp;DATA_DECISION_LOG!A16,"")</f>
        <v/>
      </c>
      <c r="B19" s="273">
        <f>IF(A19&lt;&gt;"",""&amp;DATA_DECISION_LOG!B16,"")</f>
        <v/>
      </c>
      <c r="C19" s="273">
        <f>IF(A19&lt;&gt;"",""&amp;DATA_DECISION_LOG!C16,"")</f>
        <v/>
      </c>
      <c r="D19" s="273">
        <f>IF(A19&lt;&gt;"",""&amp;DATA_DECISION_LOG!D16,"")</f>
        <v/>
      </c>
      <c r="E19" s="273">
        <f>IF(A19&lt;&gt;"",""&amp;DATA_DECISION_LOG!E16,"")</f>
        <v/>
      </c>
      <c r="F19" s="273">
        <f>IF(A19&lt;&gt;"",""&amp;DATA_DECISION_LOG!F16,"")</f>
        <v/>
      </c>
      <c r="G19" s="273">
        <f>IF(A19&lt;&gt;"",""&amp;DATA_DECISION_LOG!G16,"")</f>
        <v/>
      </c>
      <c r="H19" s="273">
        <f>IF(A19&lt;&gt;"",""&amp;DATA_DECISION_LOG!H16,"")</f>
        <v/>
      </c>
    </row>
    <row r="20">
      <c r="A20" s="273">
        <f>IF(DATA_DECISION_LOG!A17&lt;&gt;"",""&amp;DATA_DECISION_LOG!A17,"")</f>
        <v/>
      </c>
      <c r="B20" s="273">
        <f>IF(A20&lt;&gt;"",""&amp;DATA_DECISION_LOG!B17,"")</f>
        <v/>
      </c>
      <c r="C20" s="273">
        <f>IF(A20&lt;&gt;"",""&amp;DATA_DECISION_LOG!C17,"")</f>
        <v/>
      </c>
      <c r="D20" s="273">
        <f>IF(A20&lt;&gt;"",""&amp;DATA_DECISION_LOG!D17,"")</f>
        <v/>
      </c>
      <c r="E20" s="273">
        <f>IF(A20&lt;&gt;"",""&amp;DATA_DECISION_LOG!E17,"")</f>
        <v/>
      </c>
      <c r="F20" s="273">
        <f>IF(A20&lt;&gt;"",""&amp;DATA_DECISION_LOG!F17,"")</f>
        <v/>
      </c>
      <c r="G20" s="273">
        <f>IF(A20&lt;&gt;"",""&amp;DATA_DECISION_LOG!G17,"")</f>
        <v/>
      </c>
      <c r="H20" s="273">
        <f>IF(A20&lt;&gt;"",""&amp;DATA_DECISION_LOG!H17,"")</f>
        <v/>
      </c>
    </row>
    <row r="21" ht="15.75" customHeight="1" s="132">
      <c r="A21" s="273">
        <f>IF(DATA_DECISION_LOG!A18&lt;&gt;"",""&amp;DATA_DECISION_LOG!A18,"")</f>
        <v/>
      </c>
      <c r="B21" s="273">
        <f>IF(A21&lt;&gt;"",""&amp;DATA_DECISION_LOG!B18,"")</f>
        <v/>
      </c>
      <c r="C21" s="273">
        <f>IF(A21&lt;&gt;"",""&amp;DATA_DECISION_LOG!C18,"")</f>
        <v/>
      </c>
      <c r="D21" s="273">
        <f>IF(A21&lt;&gt;"",""&amp;DATA_DECISION_LOG!D18,"")</f>
        <v/>
      </c>
      <c r="E21" s="273">
        <f>IF(A21&lt;&gt;"",""&amp;DATA_DECISION_LOG!E18,"")</f>
        <v/>
      </c>
      <c r="F21" s="273">
        <f>IF(A21&lt;&gt;"",""&amp;DATA_DECISION_LOG!F18,"")</f>
        <v/>
      </c>
      <c r="G21" s="273">
        <f>IF(A21&lt;&gt;"",""&amp;DATA_DECISION_LOG!G18,"")</f>
        <v/>
      </c>
      <c r="H21" s="273">
        <f>IF(A21&lt;&gt;"",""&amp;DATA_DECISION_LOG!H18,"")</f>
        <v/>
      </c>
    </row>
    <row r="22" ht="15.75" customHeight="1" s="132">
      <c r="A22" s="273">
        <f>IF(DATA_DECISION_LOG!A19&lt;&gt;"",""&amp;DATA_DECISION_LOG!A19,"")</f>
        <v/>
      </c>
      <c r="B22" s="273">
        <f>IF(A22&lt;&gt;"",""&amp;DATA_DECISION_LOG!B19,"")</f>
        <v/>
      </c>
      <c r="C22" s="273">
        <f>IF(A22&lt;&gt;"",""&amp;DATA_DECISION_LOG!C19,"")</f>
        <v/>
      </c>
      <c r="D22" s="273">
        <f>IF(A22&lt;&gt;"",""&amp;DATA_DECISION_LOG!D19,"")</f>
        <v/>
      </c>
      <c r="E22" s="273">
        <f>IF(A22&lt;&gt;"",""&amp;DATA_DECISION_LOG!E19,"")</f>
        <v/>
      </c>
      <c r="F22" s="273">
        <f>IF(A22&lt;&gt;"",""&amp;DATA_DECISION_LOG!F19,"")</f>
        <v/>
      </c>
      <c r="G22" s="273">
        <f>IF(A22&lt;&gt;"",""&amp;DATA_DECISION_LOG!G19,"")</f>
        <v/>
      </c>
      <c r="H22" s="273">
        <f>IF(A22&lt;&gt;"",""&amp;DATA_DECISION_LOG!H19,"")</f>
        <v/>
      </c>
    </row>
    <row r="23" ht="15.75" customHeight="1" s="132">
      <c r="A23" s="273">
        <f>IF(DATA_DECISION_LOG!A20&lt;&gt;"",""&amp;DATA_DECISION_LOG!A20,"")</f>
        <v/>
      </c>
      <c r="B23" s="273">
        <f>IF(A23&lt;&gt;"",""&amp;DATA_DECISION_LOG!B20,"")</f>
        <v/>
      </c>
      <c r="C23" s="273">
        <f>IF(A23&lt;&gt;"",""&amp;DATA_DECISION_LOG!C20,"")</f>
        <v/>
      </c>
      <c r="D23" s="273">
        <f>IF(A23&lt;&gt;"",""&amp;DATA_DECISION_LOG!D20,"")</f>
        <v/>
      </c>
      <c r="E23" s="273">
        <f>IF(A23&lt;&gt;"",""&amp;DATA_DECISION_LOG!E20,"")</f>
        <v/>
      </c>
      <c r="F23" s="273">
        <f>IF(A23&lt;&gt;"",""&amp;DATA_DECISION_LOG!F20,"")</f>
        <v/>
      </c>
      <c r="G23" s="273">
        <f>IF(A23&lt;&gt;"",""&amp;DATA_DECISION_LOG!G20,"")</f>
        <v/>
      </c>
      <c r="H23" s="273">
        <f>IF(A23&lt;&gt;"",""&amp;DATA_DECISION_LOG!H20,"")</f>
        <v/>
      </c>
    </row>
    <row r="24" ht="15.75" customHeight="1" s="132">
      <c r="A24" s="273">
        <f>IF(DATA_DECISION_LOG!A21&lt;&gt;"",""&amp;DATA_DECISION_LOG!A21,"")</f>
        <v/>
      </c>
      <c r="B24" s="273">
        <f>IF(A24&lt;&gt;"",""&amp;DATA_DECISION_LOG!B21,"")</f>
        <v/>
      </c>
      <c r="C24" s="273">
        <f>IF(A24&lt;&gt;"",""&amp;DATA_DECISION_LOG!C21,"")</f>
        <v/>
      </c>
      <c r="D24" s="273">
        <f>IF(A24&lt;&gt;"",""&amp;DATA_DECISION_LOG!D21,"")</f>
        <v/>
      </c>
      <c r="E24" s="273">
        <f>IF(A24&lt;&gt;"",""&amp;DATA_DECISION_LOG!E21,"")</f>
        <v/>
      </c>
      <c r="F24" s="273">
        <f>IF(A24&lt;&gt;"",""&amp;DATA_DECISION_LOG!F21,"")</f>
        <v/>
      </c>
      <c r="G24" s="273">
        <f>IF(A24&lt;&gt;"",""&amp;DATA_DECISION_LOG!G21,"")</f>
        <v/>
      </c>
      <c r="H24" s="273">
        <f>IF(A24&lt;&gt;"",""&amp;DATA_DECISION_LOG!H21,"")</f>
        <v/>
      </c>
    </row>
    <row r="25" ht="15.75" customHeight="1" s="132">
      <c r="A25" s="273">
        <f>IF(DATA_DECISION_LOG!A22&lt;&gt;"",""&amp;DATA_DECISION_LOG!A22,"")</f>
        <v/>
      </c>
      <c r="B25" s="273">
        <f>IF(A25&lt;&gt;"",""&amp;DATA_DECISION_LOG!B22,"")</f>
        <v/>
      </c>
      <c r="C25" s="273">
        <f>IF(A25&lt;&gt;"",""&amp;DATA_DECISION_LOG!C22,"")</f>
        <v/>
      </c>
      <c r="D25" s="273">
        <f>IF(A25&lt;&gt;"",""&amp;DATA_DECISION_LOG!D22,"")</f>
        <v/>
      </c>
      <c r="E25" s="273">
        <f>IF(A25&lt;&gt;"",""&amp;DATA_DECISION_LOG!E22,"")</f>
        <v/>
      </c>
      <c r="F25" s="273">
        <f>IF(A25&lt;&gt;"",""&amp;DATA_DECISION_LOG!F22,"")</f>
        <v/>
      </c>
      <c r="G25" s="273">
        <f>IF(A25&lt;&gt;"",""&amp;DATA_DECISION_LOG!G22,"")</f>
        <v/>
      </c>
      <c r="H25" s="273">
        <f>IF(A25&lt;&gt;"",""&amp;DATA_DECISION_LOG!H22,"")</f>
        <v/>
      </c>
    </row>
    <row r="26" ht="15.75" customHeight="1" s="132">
      <c r="A26" s="273">
        <f>IF(DATA_DECISION_LOG!A23&lt;&gt;"",""&amp;DATA_DECISION_LOG!A23,"")</f>
        <v/>
      </c>
      <c r="B26" s="273">
        <f>IF(A26&lt;&gt;"",""&amp;DATA_DECISION_LOG!B23,"")</f>
        <v/>
      </c>
      <c r="C26" s="273">
        <f>IF(A26&lt;&gt;"",""&amp;DATA_DECISION_LOG!C23,"")</f>
        <v/>
      </c>
      <c r="D26" s="273">
        <f>IF(A26&lt;&gt;"",""&amp;DATA_DECISION_LOG!D23,"")</f>
        <v/>
      </c>
      <c r="E26" s="273">
        <f>IF(A26&lt;&gt;"",""&amp;DATA_DECISION_LOG!E23,"")</f>
        <v/>
      </c>
      <c r="F26" s="273">
        <f>IF(A26&lt;&gt;"",""&amp;DATA_DECISION_LOG!F23,"")</f>
        <v/>
      </c>
      <c r="G26" s="273">
        <f>IF(A26&lt;&gt;"",""&amp;DATA_DECISION_LOG!G23,"")</f>
        <v/>
      </c>
      <c r="H26" s="273">
        <f>IF(A26&lt;&gt;"",""&amp;DATA_DECISION_LOG!H23,"")</f>
        <v/>
      </c>
    </row>
    <row r="27" ht="15.75" customHeight="1" s="132">
      <c r="A27" s="273">
        <f>IF(DATA_DECISION_LOG!A24&lt;&gt;"",""&amp;DATA_DECISION_LOG!A24,"")</f>
        <v/>
      </c>
      <c r="B27" s="273">
        <f>IF(A27&lt;&gt;"",""&amp;DATA_DECISION_LOG!B24,"")</f>
        <v/>
      </c>
      <c r="C27" s="273">
        <f>IF(A27&lt;&gt;"",""&amp;DATA_DECISION_LOG!C24,"")</f>
        <v/>
      </c>
      <c r="D27" s="273">
        <f>IF(A27&lt;&gt;"",""&amp;DATA_DECISION_LOG!D24,"")</f>
        <v/>
      </c>
      <c r="E27" s="273">
        <f>IF(A27&lt;&gt;"",""&amp;DATA_DECISION_LOG!E24,"")</f>
        <v/>
      </c>
      <c r="F27" s="273">
        <f>IF(A27&lt;&gt;"",""&amp;DATA_DECISION_LOG!F24,"")</f>
        <v/>
      </c>
      <c r="G27" s="273">
        <f>IF(A27&lt;&gt;"",""&amp;DATA_DECISION_LOG!G24,"")</f>
        <v/>
      </c>
      <c r="H27" s="273">
        <f>IF(A27&lt;&gt;"",""&amp;DATA_DECISION_LOG!H24,"")</f>
        <v/>
      </c>
    </row>
    <row r="28" ht="15.75" customHeight="1" s="132">
      <c r="A28" s="273">
        <f>IF(DATA_DECISION_LOG!A25&lt;&gt;"",""&amp;DATA_DECISION_LOG!A25,"")</f>
        <v/>
      </c>
      <c r="B28" s="273">
        <f>IF(A28&lt;&gt;"",""&amp;DATA_DECISION_LOG!B25,"")</f>
        <v/>
      </c>
      <c r="C28" s="273">
        <f>IF(A28&lt;&gt;"",""&amp;DATA_DECISION_LOG!C25,"")</f>
        <v/>
      </c>
      <c r="D28" s="273">
        <f>IF(A28&lt;&gt;"",""&amp;DATA_DECISION_LOG!D25,"")</f>
        <v/>
      </c>
      <c r="E28" s="273">
        <f>IF(A28&lt;&gt;"",""&amp;DATA_DECISION_LOG!E25,"")</f>
        <v/>
      </c>
      <c r="F28" s="273">
        <f>IF(A28&lt;&gt;"",""&amp;DATA_DECISION_LOG!F25,"")</f>
        <v/>
      </c>
      <c r="G28" s="273">
        <f>IF(A28&lt;&gt;"",""&amp;DATA_DECISION_LOG!G25,"")</f>
        <v/>
      </c>
      <c r="H28" s="273">
        <f>IF(A28&lt;&gt;"",""&amp;DATA_DECISION_LOG!H25,"")</f>
        <v/>
      </c>
    </row>
    <row r="29" ht="15.75" customHeight="1" s="132">
      <c r="A29" s="273">
        <f>IF(DATA_DECISION_LOG!A26&lt;&gt;"",""&amp;DATA_DECISION_LOG!A26,"")</f>
        <v/>
      </c>
      <c r="B29" s="273">
        <f>IF(A29&lt;&gt;"",""&amp;DATA_DECISION_LOG!B26,"")</f>
        <v/>
      </c>
      <c r="C29" s="273">
        <f>IF(A29&lt;&gt;"",""&amp;DATA_DECISION_LOG!C26,"")</f>
        <v/>
      </c>
      <c r="D29" s="273">
        <f>IF(A29&lt;&gt;"",""&amp;DATA_DECISION_LOG!D26,"")</f>
        <v/>
      </c>
      <c r="E29" s="273">
        <f>IF(A29&lt;&gt;"",""&amp;DATA_DECISION_LOG!E26,"")</f>
        <v/>
      </c>
      <c r="F29" s="273">
        <f>IF(A29&lt;&gt;"",""&amp;DATA_DECISION_LOG!F26,"")</f>
        <v/>
      </c>
      <c r="G29" s="273">
        <f>IF(A29&lt;&gt;"",""&amp;DATA_DECISION_LOG!G26,"")</f>
        <v/>
      </c>
      <c r="H29" s="273">
        <f>IF(A29&lt;&gt;"",""&amp;DATA_DECISION_LOG!H26,"")</f>
        <v/>
      </c>
    </row>
    <row r="30" ht="15.75" customHeight="1" s="132">
      <c r="A30" s="273">
        <f>IF(DATA_DECISION_LOG!A27&lt;&gt;"",""&amp;DATA_DECISION_LOG!A27,"")</f>
        <v/>
      </c>
      <c r="B30" s="273">
        <f>IF(A30&lt;&gt;"",""&amp;DATA_DECISION_LOG!B27,"")</f>
        <v/>
      </c>
      <c r="C30" s="273">
        <f>IF(A30&lt;&gt;"",""&amp;DATA_DECISION_LOG!C27,"")</f>
        <v/>
      </c>
      <c r="D30" s="273">
        <f>IF(A30&lt;&gt;"",""&amp;DATA_DECISION_LOG!D27,"")</f>
        <v/>
      </c>
      <c r="E30" s="273">
        <f>IF(A30&lt;&gt;"",""&amp;DATA_DECISION_LOG!E27,"")</f>
        <v/>
      </c>
      <c r="F30" s="273">
        <f>IF(A30&lt;&gt;"",""&amp;DATA_DECISION_LOG!F27,"")</f>
        <v/>
      </c>
      <c r="G30" s="273">
        <f>IF(A30&lt;&gt;"",""&amp;DATA_DECISION_LOG!G27,"")</f>
        <v/>
      </c>
      <c r="H30" s="273">
        <f>IF(A30&lt;&gt;"",""&amp;DATA_DECISION_LOG!H27,"")</f>
        <v/>
      </c>
    </row>
    <row r="31" ht="15.75" customHeight="1" s="132">
      <c r="A31" s="273">
        <f>IF(DATA_DECISION_LOG!A28&lt;&gt;"",""&amp;DATA_DECISION_LOG!A28,"")</f>
        <v/>
      </c>
      <c r="B31" s="273">
        <f>IF(A31&lt;&gt;"",""&amp;DATA_DECISION_LOG!B28,"")</f>
        <v/>
      </c>
      <c r="C31" s="273">
        <f>IF(A31&lt;&gt;"",""&amp;DATA_DECISION_LOG!C28,"")</f>
        <v/>
      </c>
      <c r="D31" s="273">
        <f>IF(A31&lt;&gt;"",""&amp;DATA_DECISION_LOG!D28,"")</f>
        <v/>
      </c>
      <c r="E31" s="273">
        <f>IF(A31&lt;&gt;"",""&amp;DATA_DECISION_LOG!E28,"")</f>
        <v/>
      </c>
      <c r="F31" s="273">
        <f>IF(A31&lt;&gt;"",""&amp;DATA_DECISION_LOG!F28,"")</f>
        <v/>
      </c>
      <c r="G31" s="273">
        <f>IF(A31&lt;&gt;"",""&amp;DATA_DECISION_LOG!G28,"")</f>
        <v/>
      </c>
      <c r="H31" s="273">
        <f>IF(A31&lt;&gt;"",""&amp;DATA_DECISION_LOG!H28,"")</f>
        <v/>
      </c>
    </row>
    <row r="32" ht="15.75" customHeight="1" s="132">
      <c r="A32" s="273">
        <f>IF(DATA_DECISION_LOG!A29&lt;&gt;"",""&amp;DATA_DECISION_LOG!A29,"")</f>
        <v/>
      </c>
      <c r="B32" s="273">
        <f>IF(A32&lt;&gt;"",""&amp;DATA_DECISION_LOG!B29,"")</f>
        <v/>
      </c>
      <c r="C32" s="273">
        <f>IF(A32&lt;&gt;"",""&amp;DATA_DECISION_LOG!C29,"")</f>
        <v/>
      </c>
      <c r="D32" s="273">
        <f>IF(A32&lt;&gt;"",""&amp;DATA_DECISION_LOG!D29,"")</f>
        <v/>
      </c>
      <c r="E32" s="273">
        <f>IF(A32&lt;&gt;"",""&amp;DATA_DECISION_LOG!E29,"")</f>
        <v/>
      </c>
      <c r="F32" s="273">
        <f>IF(A32&lt;&gt;"",""&amp;DATA_DECISION_LOG!F29,"")</f>
        <v/>
      </c>
      <c r="G32" s="273">
        <f>IF(A32&lt;&gt;"",""&amp;DATA_DECISION_LOG!G29,"")</f>
        <v/>
      </c>
      <c r="H32" s="273">
        <f>IF(A32&lt;&gt;"",""&amp;DATA_DECISION_LOG!H29,"")</f>
        <v/>
      </c>
    </row>
    <row r="33" ht="15.75" customHeight="1" s="132">
      <c r="A33" s="273">
        <f>IF(DATA_DECISION_LOG!A30&lt;&gt;"",""&amp;DATA_DECISION_LOG!A30,"")</f>
        <v/>
      </c>
      <c r="B33" s="273">
        <f>IF(A33&lt;&gt;"",""&amp;DATA_DECISION_LOG!B30,"")</f>
        <v/>
      </c>
      <c r="C33" s="273">
        <f>IF(A33&lt;&gt;"",""&amp;DATA_DECISION_LOG!C30,"")</f>
        <v/>
      </c>
      <c r="D33" s="273">
        <f>IF(A33&lt;&gt;"",""&amp;DATA_DECISION_LOG!D30,"")</f>
        <v/>
      </c>
      <c r="E33" s="273">
        <f>IF(A33&lt;&gt;"",""&amp;DATA_DECISION_LOG!E30,"")</f>
        <v/>
      </c>
      <c r="F33" s="273">
        <f>IF(A33&lt;&gt;"",""&amp;DATA_DECISION_LOG!F30,"")</f>
        <v/>
      </c>
      <c r="G33" s="273">
        <f>IF(A33&lt;&gt;"",""&amp;DATA_DECISION_LOG!G30,"")</f>
        <v/>
      </c>
      <c r="H33" s="273">
        <f>IF(A33&lt;&gt;"",""&amp;DATA_DECISION_LOG!H30,"")</f>
        <v/>
      </c>
    </row>
    <row r="34" ht="15.75" customHeight="1" s="132">
      <c r="A34" s="273">
        <f>IF(DATA_DECISION_LOG!A31&lt;&gt;"",""&amp;DATA_DECISION_LOG!A31,"")</f>
        <v/>
      </c>
      <c r="B34" s="273">
        <f>IF(A34&lt;&gt;"",""&amp;DATA_DECISION_LOG!B31,"")</f>
        <v/>
      </c>
      <c r="C34" s="273">
        <f>IF(A34&lt;&gt;"",""&amp;DATA_DECISION_LOG!C31,"")</f>
        <v/>
      </c>
      <c r="D34" s="273">
        <f>IF(A34&lt;&gt;"",""&amp;DATA_DECISION_LOG!D31,"")</f>
        <v/>
      </c>
      <c r="E34" s="273">
        <f>IF(A34&lt;&gt;"",""&amp;DATA_DECISION_LOG!E31,"")</f>
        <v/>
      </c>
      <c r="F34" s="273">
        <f>IF(A34&lt;&gt;"",""&amp;DATA_DECISION_LOG!F31,"")</f>
        <v/>
      </c>
      <c r="G34" s="273">
        <f>IF(A34&lt;&gt;"",""&amp;DATA_DECISION_LOG!G31,"")</f>
        <v/>
      </c>
      <c r="H34" s="273">
        <f>IF(A34&lt;&gt;"",""&amp;DATA_DECISION_LOG!H31,"")</f>
        <v/>
      </c>
    </row>
    <row r="35" ht="15.75" customHeight="1" s="132">
      <c r="A35" s="273">
        <f>IF(DATA_DECISION_LOG!A32&lt;&gt;"",""&amp;DATA_DECISION_LOG!A32,"")</f>
        <v/>
      </c>
      <c r="B35" s="273">
        <f>IF(A35&lt;&gt;"",""&amp;DATA_DECISION_LOG!B32,"")</f>
        <v/>
      </c>
      <c r="C35" s="273">
        <f>IF(A35&lt;&gt;"",""&amp;DATA_DECISION_LOG!C32,"")</f>
        <v/>
      </c>
      <c r="D35" s="273">
        <f>IF(A35&lt;&gt;"",""&amp;DATA_DECISION_LOG!D32,"")</f>
        <v/>
      </c>
      <c r="E35" s="273">
        <f>IF(A35&lt;&gt;"",""&amp;DATA_DECISION_LOG!E32,"")</f>
        <v/>
      </c>
      <c r="F35" s="273">
        <f>IF(A35&lt;&gt;"",""&amp;DATA_DECISION_LOG!F32,"")</f>
        <v/>
      </c>
      <c r="G35" s="273">
        <f>IF(A35&lt;&gt;"",""&amp;DATA_DECISION_LOG!G32,"")</f>
        <v/>
      </c>
      <c r="H35" s="273">
        <f>IF(A35&lt;&gt;"",""&amp;DATA_DECISION_LOG!H32,"")</f>
        <v/>
      </c>
    </row>
    <row r="36" ht="15.75" customHeight="1" s="132">
      <c r="A36" s="273">
        <f>IF(DATA_DECISION_LOG!A33&lt;&gt;"",""&amp;DATA_DECISION_LOG!A33,"")</f>
        <v/>
      </c>
      <c r="B36" s="273">
        <f>IF(A36&lt;&gt;"",""&amp;DATA_DECISION_LOG!B33,"")</f>
        <v/>
      </c>
      <c r="C36" s="273">
        <f>IF(A36&lt;&gt;"",""&amp;DATA_DECISION_LOG!C33,"")</f>
        <v/>
      </c>
      <c r="D36" s="273">
        <f>IF(A36&lt;&gt;"",""&amp;DATA_DECISION_LOG!D33,"")</f>
        <v/>
      </c>
      <c r="E36" s="273">
        <f>IF(A36&lt;&gt;"",""&amp;DATA_DECISION_LOG!E33,"")</f>
        <v/>
      </c>
      <c r="F36" s="273">
        <f>IF(A36&lt;&gt;"",""&amp;DATA_DECISION_LOG!F33,"")</f>
        <v/>
      </c>
      <c r="G36" s="273">
        <f>IF(A36&lt;&gt;"",""&amp;DATA_DECISION_LOG!G33,"")</f>
        <v/>
      </c>
      <c r="H36" s="273">
        <f>IF(A36&lt;&gt;"",""&amp;DATA_DECISION_LOG!H33,"")</f>
        <v/>
      </c>
    </row>
    <row r="37" ht="15.75" customHeight="1" s="132">
      <c r="A37" s="273">
        <f>IF(DATA_DECISION_LOG!A34&lt;&gt;"",""&amp;DATA_DECISION_LOG!A34,"")</f>
        <v/>
      </c>
      <c r="B37" s="273">
        <f>IF(A37&lt;&gt;"",""&amp;DATA_DECISION_LOG!B34,"")</f>
        <v/>
      </c>
      <c r="C37" s="273">
        <f>IF(A37&lt;&gt;"",""&amp;DATA_DECISION_LOG!C34,"")</f>
        <v/>
      </c>
      <c r="D37" s="273">
        <f>IF(A37&lt;&gt;"",""&amp;DATA_DECISION_LOG!D34,"")</f>
        <v/>
      </c>
      <c r="E37" s="273">
        <f>IF(A37&lt;&gt;"",""&amp;DATA_DECISION_LOG!E34,"")</f>
        <v/>
      </c>
      <c r="F37" s="273">
        <f>IF(A37&lt;&gt;"",""&amp;DATA_DECISION_LOG!F34,"")</f>
        <v/>
      </c>
      <c r="G37" s="273">
        <f>IF(A37&lt;&gt;"",""&amp;DATA_DECISION_LOG!G34,"")</f>
        <v/>
      </c>
      <c r="H37" s="273">
        <f>IF(A37&lt;&gt;"",""&amp;DATA_DECISION_LOG!H34,"")</f>
        <v/>
      </c>
    </row>
    <row r="38" ht="15.75" customHeight="1" s="132">
      <c r="A38" s="273">
        <f>IF(DATA_DECISION_LOG!A35&lt;&gt;"",""&amp;DATA_DECISION_LOG!A35,"")</f>
        <v/>
      </c>
      <c r="B38" s="273">
        <f>IF(A38&lt;&gt;"",""&amp;DATA_DECISION_LOG!B35,"")</f>
        <v/>
      </c>
      <c r="C38" s="273">
        <f>IF(A38&lt;&gt;"",""&amp;DATA_DECISION_LOG!C35,"")</f>
        <v/>
      </c>
      <c r="D38" s="273">
        <f>IF(A38&lt;&gt;"",""&amp;DATA_DECISION_LOG!D35,"")</f>
        <v/>
      </c>
      <c r="E38" s="273">
        <f>IF(A38&lt;&gt;"",""&amp;DATA_DECISION_LOG!E35,"")</f>
        <v/>
      </c>
      <c r="F38" s="273">
        <f>IF(A38&lt;&gt;"",""&amp;DATA_DECISION_LOG!F35,"")</f>
        <v/>
      </c>
      <c r="G38" s="273">
        <f>IF(A38&lt;&gt;"",""&amp;DATA_DECISION_LOG!G35,"")</f>
        <v/>
      </c>
      <c r="H38" s="273">
        <f>IF(A38&lt;&gt;"",""&amp;DATA_DECISION_LOG!H35,"")</f>
        <v/>
      </c>
    </row>
    <row r="39" ht="15.75" customHeight="1" s="132">
      <c r="A39" s="273">
        <f>IF(DATA_DECISION_LOG!A36&lt;&gt;"",""&amp;DATA_DECISION_LOG!A36,"")</f>
        <v/>
      </c>
      <c r="B39" s="273">
        <f>IF(A39&lt;&gt;"",""&amp;DATA_DECISION_LOG!B36,"")</f>
        <v/>
      </c>
      <c r="C39" s="273">
        <f>IF(A39&lt;&gt;"",""&amp;DATA_DECISION_LOG!C36,"")</f>
        <v/>
      </c>
      <c r="D39" s="273">
        <f>IF(A39&lt;&gt;"",""&amp;DATA_DECISION_LOG!D36,"")</f>
        <v/>
      </c>
      <c r="E39" s="273">
        <f>IF(A39&lt;&gt;"",""&amp;DATA_DECISION_LOG!E36,"")</f>
        <v/>
      </c>
      <c r="F39" s="273">
        <f>IF(A39&lt;&gt;"",""&amp;DATA_DECISION_LOG!F36,"")</f>
        <v/>
      </c>
      <c r="G39" s="273">
        <f>IF(A39&lt;&gt;"",""&amp;DATA_DECISION_LOG!G36,"")</f>
        <v/>
      </c>
      <c r="H39" s="273">
        <f>IF(A39&lt;&gt;"",""&amp;DATA_DECISION_LOG!H36,"")</f>
        <v/>
      </c>
    </row>
    <row r="40" ht="15.75" customHeight="1" s="132">
      <c r="A40" s="273">
        <f>IF(DATA_DECISION_LOG!A37&lt;&gt;"",""&amp;DATA_DECISION_LOG!A37,"")</f>
        <v/>
      </c>
      <c r="B40" s="273">
        <f>IF(A40&lt;&gt;"",""&amp;DATA_DECISION_LOG!B37,"")</f>
        <v/>
      </c>
      <c r="C40" s="273">
        <f>IF(A40&lt;&gt;"",""&amp;DATA_DECISION_LOG!C37,"")</f>
        <v/>
      </c>
      <c r="D40" s="273">
        <f>IF(A40&lt;&gt;"",""&amp;DATA_DECISION_LOG!D37,"")</f>
        <v/>
      </c>
      <c r="E40" s="273">
        <f>IF(A40&lt;&gt;"",""&amp;DATA_DECISION_LOG!E37,"")</f>
        <v/>
      </c>
      <c r="F40" s="273">
        <f>IF(A40&lt;&gt;"",""&amp;DATA_DECISION_LOG!F37,"")</f>
        <v/>
      </c>
      <c r="G40" s="273">
        <f>IF(A40&lt;&gt;"",""&amp;DATA_DECISION_LOG!G37,"")</f>
        <v/>
      </c>
      <c r="H40" s="273">
        <f>IF(A40&lt;&gt;"",""&amp;DATA_DECISION_LOG!H37,"")</f>
        <v/>
      </c>
    </row>
    <row r="41" ht="15.75" customHeight="1" s="132">
      <c r="A41" s="273">
        <f>IF(DATA_DECISION_LOG!A38&lt;&gt;"",""&amp;DATA_DECISION_LOG!A38,"")</f>
        <v/>
      </c>
      <c r="B41" s="273">
        <f>IF(A41&lt;&gt;"",""&amp;DATA_DECISION_LOG!B38,"")</f>
        <v/>
      </c>
      <c r="C41" s="273">
        <f>IF(A41&lt;&gt;"",""&amp;DATA_DECISION_LOG!C38,"")</f>
        <v/>
      </c>
      <c r="D41" s="273">
        <f>IF(A41&lt;&gt;"",""&amp;DATA_DECISION_LOG!D38,"")</f>
        <v/>
      </c>
      <c r="E41" s="273">
        <f>IF(A41&lt;&gt;"",""&amp;DATA_DECISION_LOG!E38,"")</f>
        <v/>
      </c>
      <c r="F41" s="273">
        <f>IF(A41&lt;&gt;"",""&amp;DATA_DECISION_LOG!F38,"")</f>
        <v/>
      </c>
      <c r="G41" s="273">
        <f>IF(A41&lt;&gt;"",""&amp;DATA_DECISION_LOG!G38,"")</f>
        <v/>
      </c>
      <c r="H41" s="273">
        <f>IF(A41&lt;&gt;"",""&amp;DATA_DECISION_LOG!H38,"")</f>
        <v/>
      </c>
    </row>
    <row r="42" ht="15.75" customHeight="1" s="132">
      <c r="A42" s="273">
        <f>IF(DATA_DECISION_LOG!A39&lt;&gt;"",""&amp;DATA_DECISION_LOG!A39,"")</f>
        <v/>
      </c>
      <c r="B42" s="273">
        <f>IF(A42&lt;&gt;"",""&amp;DATA_DECISION_LOG!B39,"")</f>
        <v/>
      </c>
      <c r="C42" s="273">
        <f>IF(A42&lt;&gt;"",""&amp;DATA_DECISION_LOG!C39,"")</f>
        <v/>
      </c>
      <c r="D42" s="273">
        <f>IF(A42&lt;&gt;"",""&amp;DATA_DECISION_LOG!D39,"")</f>
        <v/>
      </c>
      <c r="E42" s="273">
        <f>IF(A42&lt;&gt;"",""&amp;DATA_DECISION_LOG!E39,"")</f>
        <v/>
      </c>
      <c r="F42" s="273">
        <f>IF(A42&lt;&gt;"",""&amp;DATA_DECISION_LOG!F39,"")</f>
        <v/>
      </c>
      <c r="G42" s="273">
        <f>IF(A42&lt;&gt;"",""&amp;DATA_DECISION_LOG!G39,"")</f>
        <v/>
      </c>
      <c r="H42" s="273">
        <f>IF(A42&lt;&gt;"",""&amp;DATA_DECISION_LOG!H39,"")</f>
        <v/>
      </c>
    </row>
    <row r="43" ht="15.75" customHeight="1" s="132">
      <c r="A43" s="273">
        <f>IF(DATA_DECISION_LOG!A40&lt;&gt;"",""&amp;DATA_DECISION_LOG!A40,"")</f>
        <v/>
      </c>
      <c r="B43" s="273">
        <f>IF(A43&lt;&gt;"",""&amp;DATA_DECISION_LOG!B40,"")</f>
        <v/>
      </c>
      <c r="C43" s="273">
        <f>IF(A43&lt;&gt;"",""&amp;DATA_DECISION_LOG!C40,"")</f>
        <v/>
      </c>
      <c r="D43" s="273">
        <f>IF(A43&lt;&gt;"",""&amp;DATA_DECISION_LOG!D40,"")</f>
        <v/>
      </c>
      <c r="E43" s="273">
        <f>IF(A43&lt;&gt;"",""&amp;DATA_DECISION_LOG!E40,"")</f>
        <v/>
      </c>
      <c r="F43" s="273">
        <f>IF(A43&lt;&gt;"",""&amp;DATA_DECISION_LOG!F40,"")</f>
        <v/>
      </c>
      <c r="G43" s="273">
        <f>IF(A43&lt;&gt;"",""&amp;DATA_DECISION_LOG!G40,"")</f>
        <v/>
      </c>
      <c r="H43" s="273">
        <f>IF(A43&lt;&gt;"",""&amp;DATA_DECISION_LOG!H40,"")</f>
        <v/>
      </c>
    </row>
    <row r="44" ht="15.75" customHeight="1" s="132">
      <c r="A44" s="273">
        <f>IF(DATA_DECISION_LOG!A41&lt;&gt;"",""&amp;DATA_DECISION_LOG!A41,"")</f>
        <v/>
      </c>
      <c r="B44" s="273">
        <f>IF(A44&lt;&gt;"",""&amp;DATA_DECISION_LOG!B41,"")</f>
        <v/>
      </c>
      <c r="C44" s="273">
        <f>IF(A44&lt;&gt;"",""&amp;DATA_DECISION_LOG!C41,"")</f>
        <v/>
      </c>
      <c r="D44" s="273">
        <f>IF(A44&lt;&gt;"",""&amp;DATA_DECISION_LOG!D41,"")</f>
        <v/>
      </c>
      <c r="E44" s="273">
        <f>IF(A44&lt;&gt;"",""&amp;DATA_DECISION_LOG!E41,"")</f>
        <v/>
      </c>
      <c r="F44" s="273">
        <f>IF(A44&lt;&gt;"",""&amp;DATA_DECISION_LOG!F41,"")</f>
        <v/>
      </c>
      <c r="G44" s="273">
        <f>IF(A44&lt;&gt;"",""&amp;DATA_DECISION_LOG!G41,"")</f>
        <v/>
      </c>
      <c r="H44" s="273">
        <f>IF(A44&lt;&gt;"",""&amp;DATA_DECISION_LOG!H41,"")</f>
        <v/>
      </c>
    </row>
    <row r="45" ht="15.75" customHeight="1" s="132">
      <c r="A45" s="273">
        <f>IF(DATA_DECISION_LOG!A42&lt;&gt;"",""&amp;DATA_DECISION_LOG!A42,"")</f>
        <v/>
      </c>
      <c r="B45" s="273">
        <f>IF(A45&lt;&gt;"",""&amp;DATA_DECISION_LOG!B42,"")</f>
        <v/>
      </c>
      <c r="C45" s="273">
        <f>IF(A45&lt;&gt;"",""&amp;DATA_DECISION_LOG!C42,"")</f>
        <v/>
      </c>
      <c r="D45" s="273">
        <f>IF(A45&lt;&gt;"",""&amp;DATA_DECISION_LOG!D42,"")</f>
        <v/>
      </c>
      <c r="E45" s="273">
        <f>IF(A45&lt;&gt;"",""&amp;DATA_DECISION_LOG!E42,"")</f>
        <v/>
      </c>
      <c r="F45" s="273">
        <f>IF(A45&lt;&gt;"",""&amp;DATA_DECISION_LOG!F42,"")</f>
        <v/>
      </c>
      <c r="G45" s="273">
        <f>IF(A45&lt;&gt;"",""&amp;DATA_DECISION_LOG!G42,"")</f>
        <v/>
      </c>
      <c r="H45" s="273">
        <f>IF(A45&lt;&gt;"",""&amp;DATA_DECISION_LOG!H42,"")</f>
        <v/>
      </c>
    </row>
    <row r="46" ht="15.75" customHeight="1" s="132">
      <c r="A46" s="273">
        <f>IF(DATA_DECISION_LOG!A43&lt;&gt;"",""&amp;DATA_DECISION_LOG!A43,"")</f>
        <v/>
      </c>
      <c r="B46" s="273">
        <f>IF(A46&lt;&gt;"",""&amp;DATA_DECISION_LOG!B43,"")</f>
        <v/>
      </c>
      <c r="C46" s="273">
        <f>IF(A46&lt;&gt;"",""&amp;DATA_DECISION_LOG!C43,"")</f>
        <v/>
      </c>
      <c r="D46" s="273">
        <f>IF(A46&lt;&gt;"",""&amp;DATA_DECISION_LOG!D43,"")</f>
        <v/>
      </c>
      <c r="E46" s="273">
        <f>IF(A46&lt;&gt;"",""&amp;DATA_DECISION_LOG!E43,"")</f>
        <v/>
      </c>
      <c r="F46" s="273">
        <f>IF(A46&lt;&gt;"",""&amp;DATA_DECISION_LOG!F43,"")</f>
        <v/>
      </c>
      <c r="G46" s="273">
        <f>IF(A46&lt;&gt;"",""&amp;DATA_DECISION_LOG!G43,"")</f>
        <v/>
      </c>
      <c r="H46" s="273">
        <f>IF(A46&lt;&gt;"",""&amp;DATA_DECISION_LOG!H43,"")</f>
        <v/>
      </c>
    </row>
    <row r="47" ht="15.75" customHeight="1" s="132">
      <c r="A47" s="273">
        <f>IF(DATA_DECISION_LOG!A44&lt;&gt;"",""&amp;DATA_DECISION_LOG!A44,"")</f>
        <v/>
      </c>
      <c r="B47" s="273">
        <f>IF(A47&lt;&gt;"",""&amp;DATA_DECISION_LOG!B44,"")</f>
        <v/>
      </c>
      <c r="C47" s="273">
        <f>IF(A47&lt;&gt;"",""&amp;DATA_DECISION_LOG!C44,"")</f>
        <v/>
      </c>
      <c r="D47" s="273">
        <f>IF(A47&lt;&gt;"",""&amp;DATA_DECISION_LOG!D44,"")</f>
        <v/>
      </c>
      <c r="E47" s="273">
        <f>IF(A47&lt;&gt;"",""&amp;DATA_DECISION_LOG!E44,"")</f>
        <v/>
      </c>
      <c r="F47" s="273">
        <f>IF(A47&lt;&gt;"",""&amp;DATA_DECISION_LOG!F44,"")</f>
        <v/>
      </c>
      <c r="G47" s="273">
        <f>IF(A47&lt;&gt;"",""&amp;DATA_DECISION_LOG!G44,"")</f>
        <v/>
      </c>
      <c r="H47" s="273">
        <f>IF(A47&lt;&gt;"",""&amp;DATA_DECISION_LOG!H44,"")</f>
        <v/>
      </c>
    </row>
    <row r="48" ht="15.75" customHeight="1" s="132">
      <c r="A48" s="273">
        <f>IF(DATA_DECISION_LOG!A45&lt;&gt;"",""&amp;DATA_DECISION_LOG!A45,"")</f>
        <v/>
      </c>
      <c r="B48" s="273">
        <f>IF(A48&lt;&gt;"",""&amp;DATA_DECISION_LOG!B45,"")</f>
        <v/>
      </c>
      <c r="C48" s="273">
        <f>IF(A48&lt;&gt;"",""&amp;DATA_DECISION_LOG!C45,"")</f>
        <v/>
      </c>
      <c r="D48" s="273">
        <f>IF(A48&lt;&gt;"",""&amp;DATA_DECISION_LOG!D45,"")</f>
        <v/>
      </c>
      <c r="E48" s="273">
        <f>IF(A48&lt;&gt;"",""&amp;DATA_DECISION_LOG!E45,"")</f>
        <v/>
      </c>
      <c r="F48" s="273">
        <f>IF(A48&lt;&gt;"",""&amp;DATA_DECISION_LOG!F45,"")</f>
        <v/>
      </c>
      <c r="G48" s="273">
        <f>IF(A48&lt;&gt;"",""&amp;DATA_DECISION_LOG!G45,"")</f>
        <v/>
      </c>
      <c r="H48" s="273">
        <f>IF(A48&lt;&gt;"",""&amp;DATA_DECISION_LOG!H45,"")</f>
        <v/>
      </c>
    </row>
    <row r="49" ht="15.75" customHeight="1" s="132">
      <c r="A49" s="273">
        <f>IF(DATA_DECISION_LOG!A46&lt;&gt;"",""&amp;DATA_DECISION_LOG!A46,"")</f>
        <v/>
      </c>
      <c r="B49" s="273">
        <f>IF(A49&lt;&gt;"",""&amp;DATA_DECISION_LOG!B46,"")</f>
        <v/>
      </c>
      <c r="C49" s="273">
        <f>IF(A49&lt;&gt;"",""&amp;DATA_DECISION_LOG!C46,"")</f>
        <v/>
      </c>
      <c r="D49" s="273">
        <f>IF(A49&lt;&gt;"",""&amp;DATA_DECISION_LOG!D46,"")</f>
        <v/>
      </c>
      <c r="E49" s="273">
        <f>IF(A49&lt;&gt;"",""&amp;DATA_DECISION_LOG!E46,"")</f>
        <v/>
      </c>
      <c r="F49" s="273">
        <f>IF(A49&lt;&gt;"",""&amp;DATA_DECISION_LOG!F46,"")</f>
        <v/>
      </c>
      <c r="G49" s="273">
        <f>IF(A49&lt;&gt;"",""&amp;DATA_DECISION_LOG!G46,"")</f>
        <v/>
      </c>
      <c r="H49" s="273">
        <f>IF(A49&lt;&gt;"",""&amp;DATA_DECISION_LOG!H46,"")</f>
        <v/>
      </c>
    </row>
    <row r="50" ht="15.75" customHeight="1" s="132">
      <c r="A50" s="273">
        <f>IF(DATA_DECISION_LOG!A47&lt;&gt;"",""&amp;DATA_DECISION_LOG!A47,"")</f>
        <v/>
      </c>
      <c r="B50" s="273">
        <f>IF(A50&lt;&gt;"",""&amp;DATA_DECISION_LOG!B47,"")</f>
        <v/>
      </c>
      <c r="C50" s="273">
        <f>IF(A50&lt;&gt;"",""&amp;DATA_DECISION_LOG!C47,"")</f>
        <v/>
      </c>
      <c r="D50" s="273">
        <f>IF(A50&lt;&gt;"",""&amp;DATA_DECISION_LOG!D47,"")</f>
        <v/>
      </c>
      <c r="E50" s="273">
        <f>IF(A50&lt;&gt;"",""&amp;DATA_DECISION_LOG!E47,"")</f>
        <v/>
      </c>
      <c r="F50" s="273">
        <f>IF(A50&lt;&gt;"",""&amp;DATA_DECISION_LOG!F47,"")</f>
        <v/>
      </c>
      <c r="G50" s="273">
        <f>IF(A50&lt;&gt;"",""&amp;DATA_DECISION_LOG!G47,"")</f>
        <v/>
      </c>
      <c r="H50" s="273">
        <f>IF(A50&lt;&gt;"",""&amp;DATA_DECISION_LOG!H47,"")</f>
        <v/>
      </c>
    </row>
    <row r="51" ht="15.75" customHeight="1" s="132">
      <c r="A51" s="273">
        <f>IF(DATA_DECISION_LOG!A48&lt;&gt;"",""&amp;DATA_DECISION_LOG!A48,"")</f>
        <v/>
      </c>
      <c r="B51" s="273">
        <f>IF(A51&lt;&gt;"",""&amp;DATA_DECISION_LOG!B48,"")</f>
        <v/>
      </c>
      <c r="C51" s="273">
        <f>IF(A51&lt;&gt;"",""&amp;DATA_DECISION_LOG!C48,"")</f>
        <v/>
      </c>
      <c r="D51" s="273">
        <f>IF(A51&lt;&gt;"",""&amp;DATA_DECISION_LOG!D48,"")</f>
        <v/>
      </c>
      <c r="E51" s="273">
        <f>IF(A51&lt;&gt;"",""&amp;DATA_DECISION_LOG!E48,"")</f>
        <v/>
      </c>
      <c r="F51" s="273">
        <f>IF(A51&lt;&gt;"",""&amp;DATA_DECISION_LOG!F48,"")</f>
        <v/>
      </c>
      <c r="G51" s="273">
        <f>IF(A51&lt;&gt;"",""&amp;DATA_DECISION_LOG!G48,"")</f>
        <v/>
      </c>
      <c r="H51" s="273">
        <f>IF(A51&lt;&gt;"",""&amp;DATA_DECISION_LOG!H48,"")</f>
        <v/>
      </c>
    </row>
    <row r="52" ht="15.75" customHeight="1" s="132">
      <c r="A52" s="273">
        <f>IF(DATA_DECISION_LOG!A49&lt;&gt;"",""&amp;DATA_DECISION_LOG!A49,"")</f>
        <v/>
      </c>
      <c r="B52" s="273">
        <f>IF(A52&lt;&gt;"",""&amp;DATA_DECISION_LOG!B49,"")</f>
        <v/>
      </c>
      <c r="C52" s="273">
        <f>IF(A52&lt;&gt;"",""&amp;DATA_DECISION_LOG!C49,"")</f>
        <v/>
      </c>
      <c r="D52" s="273">
        <f>IF(A52&lt;&gt;"",""&amp;DATA_DECISION_LOG!D49,"")</f>
        <v/>
      </c>
      <c r="E52" s="273">
        <f>IF(A52&lt;&gt;"",""&amp;DATA_DECISION_LOG!E49,"")</f>
        <v/>
      </c>
      <c r="F52" s="273">
        <f>IF(A52&lt;&gt;"",""&amp;DATA_DECISION_LOG!F49,"")</f>
        <v/>
      </c>
      <c r="G52" s="273">
        <f>IF(A52&lt;&gt;"",""&amp;DATA_DECISION_LOG!G49,"")</f>
        <v/>
      </c>
      <c r="H52" s="273">
        <f>IF(A52&lt;&gt;"",""&amp;DATA_DECISION_LOG!H49,"")</f>
        <v/>
      </c>
    </row>
    <row r="53" ht="15.75" customHeight="1" s="132">
      <c r="A53" s="273">
        <f>IF(DATA_DECISION_LOG!A50&lt;&gt;"",""&amp;DATA_DECISION_LOG!A50,"")</f>
        <v/>
      </c>
      <c r="B53" s="273">
        <f>IF(A53&lt;&gt;"",""&amp;DATA_DECISION_LOG!B50,"")</f>
        <v/>
      </c>
      <c r="C53" s="273">
        <f>IF(A53&lt;&gt;"",""&amp;DATA_DECISION_LOG!C50,"")</f>
        <v/>
      </c>
      <c r="D53" s="273">
        <f>IF(A53&lt;&gt;"",""&amp;DATA_DECISION_LOG!D50,"")</f>
        <v/>
      </c>
      <c r="E53" s="273">
        <f>IF(A53&lt;&gt;"",""&amp;DATA_DECISION_LOG!E50,"")</f>
        <v/>
      </c>
      <c r="F53" s="273">
        <f>IF(A53&lt;&gt;"",""&amp;DATA_DECISION_LOG!F50,"")</f>
        <v/>
      </c>
      <c r="G53" s="273">
        <f>IF(A53&lt;&gt;"",""&amp;DATA_DECISION_LOG!G50,"")</f>
        <v/>
      </c>
      <c r="H53" s="273">
        <f>IF(A53&lt;&gt;"",""&amp;DATA_DECISION_LOG!H50,"")</f>
        <v/>
      </c>
    </row>
    <row r="54" ht="15.75" customHeight="1" s="132">
      <c r="A54" s="273">
        <f>IF(DATA_DECISION_LOG!A51&lt;&gt;"",""&amp;DATA_DECISION_LOG!A51,"")</f>
        <v/>
      </c>
      <c r="B54" s="273">
        <f>IF(A54&lt;&gt;"",""&amp;DATA_DECISION_LOG!B51,"")</f>
        <v/>
      </c>
      <c r="C54" s="273">
        <f>IF(A54&lt;&gt;"",""&amp;DATA_DECISION_LOG!C51,"")</f>
        <v/>
      </c>
      <c r="D54" s="273">
        <f>IF(A54&lt;&gt;"",""&amp;DATA_DECISION_LOG!D51,"")</f>
        <v/>
      </c>
      <c r="E54" s="273">
        <f>IF(A54&lt;&gt;"",""&amp;DATA_DECISION_LOG!E51,"")</f>
        <v/>
      </c>
      <c r="F54" s="273">
        <f>IF(A54&lt;&gt;"",""&amp;DATA_DECISION_LOG!F51,"")</f>
        <v/>
      </c>
      <c r="G54" s="273">
        <f>IF(A54&lt;&gt;"",""&amp;DATA_DECISION_LOG!G51,"")</f>
        <v/>
      </c>
      <c r="H54" s="273">
        <f>IF(A54&lt;&gt;"",""&amp;DATA_DECISION_LOG!H51,"")</f>
        <v/>
      </c>
    </row>
    <row r="55" ht="15.75" customHeight="1" s="132">
      <c r="A55" s="273">
        <f>IF(DATA_DECISION_LOG!A52&lt;&gt;"",""&amp;DATA_DECISION_LOG!A52,"")</f>
        <v/>
      </c>
      <c r="B55" s="273">
        <f>IF(A55&lt;&gt;"",""&amp;DATA_DECISION_LOG!B52,"")</f>
        <v/>
      </c>
      <c r="C55" s="273">
        <f>IF(A55&lt;&gt;"",""&amp;DATA_DECISION_LOG!C52,"")</f>
        <v/>
      </c>
      <c r="D55" s="273">
        <f>IF(A55&lt;&gt;"",""&amp;DATA_DECISION_LOG!D52,"")</f>
        <v/>
      </c>
      <c r="E55" s="273">
        <f>IF(A55&lt;&gt;"",""&amp;DATA_DECISION_LOG!E52,"")</f>
        <v/>
      </c>
      <c r="F55" s="273">
        <f>IF(A55&lt;&gt;"",""&amp;DATA_DECISION_LOG!F52,"")</f>
        <v/>
      </c>
      <c r="G55" s="273">
        <f>IF(A55&lt;&gt;"",""&amp;DATA_DECISION_LOG!G52,"")</f>
        <v/>
      </c>
      <c r="H55" s="273">
        <f>IF(A55&lt;&gt;"",""&amp;DATA_DECISION_LOG!H52,"")</f>
        <v/>
      </c>
    </row>
    <row r="56" ht="15.75" customHeight="1" s="132">
      <c r="A56" s="273">
        <f>IF(DATA_DECISION_LOG!A53&lt;&gt;"",""&amp;DATA_DECISION_LOG!A53,"")</f>
        <v/>
      </c>
      <c r="B56" s="273">
        <f>IF(A56&lt;&gt;"",""&amp;DATA_DECISION_LOG!B53,"")</f>
        <v/>
      </c>
      <c r="C56" s="273">
        <f>IF(A56&lt;&gt;"",""&amp;DATA_DECISION_LOG!C53,"")</f>
        <v/>
      </c>
      <c r="D56" s="273">
        <f>IF(A56&lt;&gt;"",""&amp;DATA_DECISION_LOG!D53,"")</f>
        <v/>
      </c>
      <c r="E56" s="273">
        <f>IF(A56&lt;&gt;"",""&amp;DATA_DECISION_LOG!E53,"")</f>
        <v/>
      </c>
      <c r="F56" s="273">
        <f>IF(A56&lt;&gt;"",""&amp;DATA_DECISION_LOG!F53,"")</f>
        <v/>
      </c>
      <c r="G56" s="273">
        <f>IF(A56&lt;&gt;"",""&amp;DATA_DECISION_LOG!G53,"")</f>
        <v/>
      </c>
      <c r="H56" s="273">
        <f>IF(A56&lt;&gt;"",""&amp;DATA_DECISION_LOG!H53,"")</f>
        <v/>
      </c>
    </row>
    <row r="57" ht="15.75" customHeight="1" s="132">
      <c r="A57" s="273">
        <f>IF(DATA_DECISION_LOG!A54&lt;&gt;"",""&amp;DATA_DECISION_LOG!A54,"")</f>
        <v/>
      </c>
      <c r="B57" s="273">
        <f>IF(A57&lt;&gt;"",""&amp;DATA_DECISION_LOG!B54,"")</f>
        <v/>
      </c>
      <c r="C57" s="273">
        <f>IF(A57&lt;&gt;"",""&amp;DATA_DECISION_LOG!C54,"")</f>
        <v/>
      </c>
      <c r="D57" s="273">
        <f>IF(A57&lt;&gt;"",""&amp;DATA_DECISION_LOG!D54,"")</f>
        <v/>
      </c>
      <c r="E57" s="273">
        <f>IF(A57&lt;&gt;"",""&amp;DATA_DECISION_LOG!E54,"")</f>
        <v/>
      </c>
      <c r="F57" s="273">
        <f>IF(A57&lt;&gt;"",""&amp;DATA_DECISION_LOG!F54,"")</f>
        <v/>
      </c>
      <c r="G57" s="273">
        <f>IF(A57&lt;&gt;"",""&amp;DATA_DECISION_LOG!G54,"")</f>
        <v/>
      </c>
      <c r="H57" s="273">
        <f>IF(A57&lt;&gt;"",""&amp;DATA_DECISION_LOG!H54,"")</f>
        <v/>
      </c>
    </row>
    <row r="58" ht="15.75" customHeight="1" s="132">
      <c r="A58" s="273">
        <f>IF(DATA_DECISION_LOG!A55&lt;&gt;"",""&amp;DATA_DECISION_LOG!A55,"")</f>
        <v/>
      </c>
      <c r="B58" s="273">
        <f>IF(A58&lt;&gt;"",""&amp;DATA_DECISION_LOG!B55,"")</f>
        <v/>
      </c>
      <c r="C58" s="273">
        <f>IF(A58&lt;&gt;"",""&amp;DATA_DECISION_LOG!C55,"")</f>
        <v/>
      </c>
      <c r="D58" s="273">
        <f>IF(A58&lt;&gt;"",""&amp;DATA_DECISION_LOG!D55,"")</f>
        <v/>
      </c>
      <c r="E58" s="273">
        <f>IF(A58&lt;&gt;"",""&amp;DATA_DECISION_LOG!E55,"")</f>
        <v/>
      </c>
      <c r="F58" s="273">
        <f>IF(A58&lt;&gt;"",""&amp;DATA_DECISION_LOG!F55,"")</f>
        <v/>
      </c>
      <c r="G58" s="273">
        <f>IF(A58&lt;&gt;"",""&amp;DATA_DECISION_LOG!G55,"")</f>
        <v/>
      </c>
      <c r="H58" s="273">
        <f>IF(A58&lt;&gt;"",""&amp;DATA_DECISION_LOG!H55,"")</f>
        <v/>
      </c>
    </row>
    <row r="59" ht="15.75" customHeight="1" s="132">
      <c r="A59" s="273">
        <f>IF(DATA_DECISION_LOG!A56&lt;&gt;"",""&amp;DATA_DECISION_LOG!A56,"")</f>
        <v/>
      </c>
      <c r="B59" s="273">
        <f>IF(A59&lt;&gt;"",""&amp;DATA_DECISION_LOG!B56,"")</f>
        <v/>
      </c>
      <c r="C59" s="273">
        <f>IF(A59&lt;&gt;"",""&amp;DATA_DECISION_LOG!C56,"")</f>
        <v/>
      </c>
      <c r="D59" s="273">
        <f>IF(A59&lt;&gt;"",""&amp;DATA_DECISION_LOG!D56,"")</f>
        <v/>
      </c>
      <c r="E59" s="273">
        <f>IF(A59&lt;&gt;"",""&amp;DATA_DECISION_LOG!E56,"")</f>
        <v/>
      </c>
      <c r="F59" s="273">
        <f>IF(A59&lt;&gt;"",""&amp;DATA_DECISION_LOG!F56,"")</f>
        <v/>
      </c>
      <c r="G59" s="273">
        <f>IF(A59&lt;&gt;"",""&amp;DATA_DECISION_LOG!G56,"")</f>
        <v/>
      </c>
      <c r="H59" s="273">
        <f>IF(A59&lt;&gt;"",""&amp;DATA_DECISION_LOG!H56,"")</f>
        <v/>
      </c>
    </row>
    <row r="60" ht="15.75" customHeight="1" s="132">
      <c r="A60" s="273">
        <f>IF(DATA_DECISION_LOG!A57&lt;&gt;"",""&amp;DATA_DECISION_LOG!A57,"")</f>
        <v/>
      </c>
      <c r="B60" s="273">
        <f>IF(A60&lt;&gt;"",""&amp;DATA_DECISION_LOG!B57,"")</f>
        <v/>
      </c>
      <c r="C60" s="273">
        <f>IF(A60&lt;&gt;"",""&amp;DATA_DECISION_LOG!C57,"")</f>
        <v/>
      </c>
      <c r="D60" s="273">
        <f>IF(A60&lt;&gt;"",""&amp;DATA_DECISION_LOG!D57,"")</f>
        <v/>
      </c>
      <c r="E60" s="273">
        <f>IF(A60&lt;&gt;"",""&amp;DATA_DECISION_LOG!E57,"")</f>
        <v/>
      </c>
      <c r="F60" s="273">
        <f>IF(A60&lt;&gt;"",""&amp;DATA_DECISION_LOG!F57,"")</f>
        <v/>
      </c>
      <c r="G60" s="273">
        <f>IF(A60&lt;&gt;"",""&amp;DATA_DECISION_LOG!G57,"")</f>
        <v/>
      </c>
      <c r="H60" s="273">
        <f>IF(A60&lt;&gt;"",""&amp;DATA_DECISION_LOG!H57,"")</f>
        <v/>
      </c>
    </row>
    <row r="61" ht="15.75" customHeight="1" s="132">
      <c r="A61" s="273">
        <f>IF(DATA_DECISION_LOG!A58&lt;&gt;"",""&amp;DATA_DECISION_LOG!A58,"")</f>
        <v/>
      </c>
      <c r="B61" s="273">
        <f>IF(A61&lt;&gt;"",""&amp;DATA_DECISION_LOG!B58,"")</f>
        <v/>
      </c>
      <c r="C61" s="273">
        <f>IF(A61&lt;&gt;"",""&amp;DATA_DECISION_LOG!C58,"")</f>
        <v/>
      </c>
      <c r="D61" s="273">
        <f>IF(A61&lt;&gt;"",""&amp;DATA_DECISION_LOG!D58,"")</f>
        <v/>
      </c>
      <c r="E61" s="273">
        <f>IF(A61&lt;&gt;"",""&amp;DATA_DECISION_LOG!E58,"")</f>
        <v/>
      </c>
      <c r="F61" s="273">
        <f>IF(A61&lt;&gt;"",""&amp;DATA_DECISION_LOG!F58,"")</f>
        <v/>
      </c>
      <c r="G61" s="273">
        <f>IF(A61&lt;&gt;"",""&amp;DATA_DECISION_LOG!G58,"")</f>
        <v/>
      </c>
      <c r="H61" s="273">
        <f>IF(A61&lt;&gt;"",""&amp;DATA_DECISION_LOG!H58,"")</f>
        <v/>
      </c>
    </row>
    <row r="62" ht="15.75" customHeight="1" s="132">
      <c r="A62" s="273">
        <f>IF(DATA_DECISION_LOG!A59&lt;&gt;"",""&amp;DATA_DECISION_LOG!A59,"")</f>
        <v/>
      </c>
      <c r="B62" s="273">
        <f>IF(A62&lt;&gt;"",""&amp;DATA_DECISION_LOG!B59,"")</f>
        <v/>
      </c>
      <c r="C62" s="273">
        <f>IF(A62&lt;&gt;"",""&amp;DATA_DECISION_LOG!C59,"")</f>
        <v/>
      </c>
      <c r="D62" s="273">
        <f>IF(A62&lt;&gt;"",""&amp;DATA_DECISION_LOG!D59,"")</f>
        <v/>
      </c>
      <c r="E62" s="273">
        <f>IF(A62&lt;&gt;"",""&amp;DATA_DECISION_LOG!E59,"")</f>
        <v/>
      </c>
      <c r="F62" s="273">
        <f>IF(A62&lt;&gt;"",""&amp;DATA_DECISION_LOG!F59,"")</f>
        <v/>
      </c>
      <c r="G62" s="273">
        <f>IF(A62&lt;&gt;"",""&amp;DATA_DECISION_LOG!G59,"")</f>
        <v/>
      </c>
      <c r="H62" s="273">
        <f>IF(A62&lt;&gt;"",""&amp;DATA_DECISION_LOG!H59,"")</f>
        <v/>
      </c>
    </row>
    <row r="63" ht="15.75" customHeight="1" s="132">
      <c r="A63" s="273">
        <f>IF(DATA_DECISION_LOG!A60&lt;&gt;"",""&amp;DATA_DECISION_LOG!A60,"")</f>
        <v/>
      </c>
      <c r="B63" s="273">
        <f>IF(A63&lt;&gt;"",""&amp;DATA_DECISION_LOG!B60,"")</f>
        <v/>
      </c>
      <c r="C63" s="273">
        <f>IF(A63&lt;&gt;"",""&amp;DATA_DECISION_LOG!C60,"")</f>
        <v/>
      </c>
      <c r="D63" s="273">
        <f>IF(A63&lt;&gt;"",""&amp;DATA_DECISION_LOG!D60,"")</f>
        <v/>
      </c>
      <c r="E63" s="273">
        <f>IF(A63&lt;&gt;"",""&amp;DATA_DECISION_LOG!E60,"")</f>
        <v/>
      </c>
      <c r="F63" s="273">
        <f>IF(A63&lt;&gt;"",""&amp;DATA_DECISION_LOG!F60,"")</f>
        <v/>
      </c>
      <c r="G63" s="273">
        <f>IF(A63&lt;&gt;"",""&amp;DATA_DECISION_LOG!G60,"")</f>
        <v/>
      </c>
      <c r="H63" s="273">
        <f>IF(A63&lt;&gt;"",""&amp;DATA_DECISION_LOG!H60,"")</f>
        <v/>
      </c>
    </row>
    <row r="64" ht="15.75" customHeight="1" s="132">
      <c r="A64" s="273">
        <f>IF(DATA_DECISION_LOG!A61&lt;&gt;"",""&amp;DATA_DECISION_LOG!A61,"")</f>
        <v/>
      </c>
      <c r="B64" s="273">
        <f>IF(A64&lt;&gt;"",""&amp;DATA_DECISION_LOG!B61,"")</f>
        <v/>
      </c>
      <c r="C64" s="273">
        <f>IF(A64&lt;&gt;"",""&amp;DATA_DECISION_LOG!C61,"")</f>
        <v/>
      </c>
      <c r="D64" s="273">
        <f>IF(A64&lt;&gt;"",""&amp;DATA_DECISION_LOG!D61,"")</f>
        <v/>
      </c>
      <c r="E64" s="273">
        <f>IF(A64&lt;&gt;"",""&amp;DATA_DECISION_LOG!E61,"")</f>
        <v/>
      </c>
      <c r="F64" s="273">
        <f>IF(A64&lt;&gt;"",""&amp;DATA_DECISION_LOG!F61,"")</f>
        <v/>
      </c>
      <c r="G64" s="273">
        <f>IF(A64&lt;&gt;"",""&amp;DATA_DECISION_LOG!G61,"")</f>
        <v/>
      </c>
      <c r="H64" s="273">
        <f>IF(A64&lt;&gt;"",""&amp;DATA_DECISION_LOG!H61,"")</f>
        <v/>
      </c>
    </row>
    <row r="65" ht="15.75" customHeight="1" s="132">
      <c r="A65" s="273">
        <f>IF(DATA_DECISION_LOG!A62&lt;&gt;"",""&amp;DATA_DECISION_LOG!A62,"")</f>
        <v/>
      </c>
      <c r="B65" s="273">
        <f>IF(A65&lt;&gt;"",""&amp;DATA_DECISION_LOG!B62,"")</f>
        <v/>
      </c>
      <c r="C65" s="273">
        <f>IF(A65&lt;&gt;"",""&amp;DATA_DECISION_LOG!C62,"")</f>
        <v/>
      </c>
      <c r="D65" s="273">
        <f>IF(A65&lt;&gt;"",""&amp;DATA_DECISION_LOG!D62,"")</f>
        <v/>
      </c>
      <c r="E65" s="273">
        <f>IF(A65&lt;&gt;"",""&amp;DATA_DECISION_LOG!E62,"")</f>
        <v/>
      </c>
      <c r="F65" s="273">
        <f>IF(A65&lt;&gt;"",""&amp;DATA_DECISION_LOG!F62,"")</f>
        <v/>
      </c>
      <c r="G65" s="273">
        <f>IF(A65&lt;&gt;"",""&amp;DATA_DECISION_LOG!G62,"")</f>
        <v/>
      </c>
      <c r="H65" s="273">
        <f>IF(A65&lt;&gt;"",""&amp;DATA_DECISION_LOG!H62,"")</f>
        <v/>
      </c>
    </row>
    <row r="66" ht="15.75" customHeight="1" s="132">
      <c r="A66" s="273">
        <f>IF(DATA_DECISION_LOG!A63&lt;&gt;"",""&amp;DATA_DECISION_LOG!A63,"")</f>
        <v/>
      </c>
      <c r="B66" s="273">
        <f>IF(A66&lt;&gt;"",""&amp;DATA_DECISION_LOG!B63,"")</f>
        <v/>
      </c>
      <c r="C66" s="273">
        <f>IF(A66&lt;&gt;"",""&amp;DATA_DECISION_LOG!C63,"")</f>
        <v/>
      </c>
      <c r="D66" s="273">
        <f>IF(A66&lt;&gt;"",""&amp;DATA_DECISION_LOG!D63,"")</f>
        <v/>
      </c>
      <c r="E66" s="273">
        <f>IF(A66&lt;&gt;"",""&amp;DATA_DECISION_LOG!E63,"")</f>
        <v/>
      </c>
      <c r="F66" s="273">
        <f>IF(A66&lt;&gt;"",""&amp;DATA_DECISION_LOG!F63,"")</f>
        <v/>
      </c>
      <c r="G66" s="273">
        <f>IF(A66&lt;&gt;"",""&amp;DATA_DECISION_LOG!G63,"")</f>
        <v/>
      </c>
      <c r="H66" s="273">
        <f>IF(A66&lt;&gt;"",""&amp;DATA_DECISION_LOG!H63,"")</f>
        <v/>
      </c>
    </row>
    <row r="67" ht="15.75" customHeight="1" s="132">
      <c r="A67" s="273">
        <f>IF(DATA_DECISION_LOG!A64&lt;&gt;"",""&amp;DATA_DECISION_LOG!A64,"")</f>
        <v/>
      </c>
      <c r="B67" s="273">
        <f>IF(A67&lt;&gt;"",""&amp;DATA_DECISION_LOG!B64,"")</f>
        <v/>
      </c>
      <c r="C67" s="273">
        <f>IF(A67&lt;&gt;"",""&amp;DATA_DECISION_LOG!C64,"")</f>
        <v/>
      </c>
      <c r="D67" s="273">
        <f>IF(A67&lt;&gt;"",""&amp;DATA_DECISION_LOG!D64,"")</f>
        <v/>
      </c>
      <c r="E67" s="273">
        <f>IF(A67&lt;&gt;"",""&amp;DATA_DECISION_LOG!E64,"")</f>
        <v/>
      </c>
      <c r="F67" s="273">
        <f>IF(A67&lt;&gt;"",""&amp;DATA_DECISION_LOG!F64,"")</f>
        <v/>
      </c>
      <c r="G67" s="273">
        <f>IF(A67&lt;&gt;"",""&amp;DATA_DECISION_LOG!G64,"")</f>
        <v/>
      </c>
      <c r="H67" s="273">
        <f>IF(A67&lt;&gt;"",""&amp;DATA_DECISION_LOG!H64,"")</f>
        <v/>
      </c>
    </row>
    <row r="68" ht="15.75" customHeight="1" s="132">
      <c r="A68" s="273">
        <f>IF(DATA_DECISION_LOG!A65&lt;&gt;"",""&amp;DATA_DECISION_LOG!A65,"")</f>
        <v/>
      </c>
      <c r="B68" s="273">
        <f>IF(A68&lt;&gt;"",""&amp;DATA_DECISION_LOG!B65,"")</f>
        <v/>
      </c>
      <c r="C68" s="273">
        <f>IF(A68&lt;&gt;"",""&amp;DATA_DECISION_LOG!C65,"")</f>
        <v/>
      </c>
      <c r="D68" s="273">
        <f>IF(A68&lt;&gt;"",""&amp;DATA_DECISION_LOG!D65,"")</f>
        <v/>
      </c>
      <c r="E68" s="273">
        <f>IF(A68&lt;&gt;"",""&amp;DATA_DECISION_LOG!E65,"")</f>
        <v/>
      </c>
      <c r="F68" s="273">
        <f>IF(A68&lt;&gt;"",""&amp;DATA_DECISION_LOG!F65,"")</f>
        <v/>
      </c>
      <c r="G68" s="273">
        <f>IF(A68&lt;&gt;"",""&amp;DATA_DECISION_LOG!G65,"")</f>
        <v/>
      </c>
      <c r="H68" s="273">
        <f>IF(A68&lt;&gt;"",""&amp;DATA_DECISION_LOG!H65,"")</f>
        <v/>
      </c>
    </row>
    <row r="69" ht="15.75" customHeight="1" s="132">
      <c r="A69" s="273">
        <f>IF(DATA_DECISION_LOG!A66&lt;&gt;"",""&amp;DATA_DECISION_LOG!A66,"")</f>
        <v/>
      </c>
      <c r="B69" s="273">
        <f>IF(A69&lt;&gt;"",""&amp;DATA_DECISION_LOG!B66,"")</f>
        <v/>
      </c>
      <c r="C69" s="273">
        <f>IF(A69&lt;&gt;"",""&amp;DATA_DECISION_LOG!C66,"")</f>
        <v/>
      </c>
      <c r="D69" s="273">
        <f>IF(A69&lt;&gt;"",""&amp;DATA_DECISION_LOG!D66,"")</f>
        <v/>
      </c>
      <c r="E69" s="273">
        <f>IF(A69&lt;&gt;"",""&amp;DATA_DECISION_LOG!E66,"")</f>
        <v/>
      </c>
      <c r="F69" s="273">
        <f>IF(A69&lt;&gt;"",""&amp;DATA_DECISION_LOG!F66,"")</f>
        <v/>
      </c>
      <c r="G69" s="273">
        <f>IF(A69&lt;&gt;"",""&amp;DATA_DECISION_LOG!G66,"")</f>
        <v/>
      </c>
      <c r="H69" s="273">
        <f>IF(A69&lt;&gt;"",""&amp;DATA_DECISION_LOG!H66,"")</f>
        <v/>
      </c>
    </row>
    <row r="70" ht="15.75" customHeight="1" s="132">
      <c r="A70" s="273">
        <f>IF(DATA_DECISION_LOG!A67&lt;&gt;"",""&amp;DATA_DECISION_LOG!A67,"")</f>
        <v/>
      </c>
      <c r="B70" s="273">
        <f>IF(A70&lt;&gt;"",""&amp;DATA_DECISION_LOG!B67,"")</f>
        <v/>
      </c>
      <c r="C70" s="273">
        <f>IF(A70&lt;&gt;"",""&amp;DATA_DECISION_LOG!C67,"")</f>
        <v/>
      </c>
      <c r="D70" s="273">
        <f>IF(A70&lt;&gt;"",""&amp;DATA_DECISION_LOG!D67,"")</f>
        <v/>
      </c>
      <c r="E70" s="273">
        <f>IF(A70&lt;&gt;"",""&amp;DATA_DECISION_LOG!E67,"")</f>
        <v/>
      </c>
      <c r="F70" s="273">
        <f>IF(A70&lt;&gt;"",""&amp;DATA_DECISION_LOG!F67,"")</f>
        <v/>
      </c>
      <c r="G70" s="273">
        <f>IF(A70&lt;&gt;"",""&amp;DATA_DECISION_LOG!G67,"")</f>
        <v/>
      </c>
      <c r="H70" s="273">
        <f>IF(A70&lt;&gt;"",""&amp;DATA_DECISION_LOG!H67,"")</f>
        <v/>
      </c>
    </row>
    <row r="71" ht="15.75" customHeight="1" s="132">
      <c r="A71" s="273">
        <f>IF(DATA_DECISION_LOG!A68&lt;&gt;"",""&amp;DATA_DECISION_LOG!A68,"")</f>
        <v/>
      </c>
      <c r="B71" s="273">
        <f>IF(A71&lt;&gt;"",""&amp;DATA_DECISION_LOG!B68,"")</f>
        <v/>
      </c>
      <c r="C71" s="273">
        <f>IF(A71&lt;&gt;"",""&amp;DATA_DECISION_LOG!C68,"")</f>
        <v/>
      </c>
      <c r="D71" s="273">
        <f>IF(A71&lt;&gt;"",""&amp;DATA_DECISION_LOG!D68,"")</f>
        <v/>
      </c>
      <c r="E71" s="273">
        <f>IF(A71&lt;&gt;"",""&amp;DATA_DECISION_LOG!E68,"")</f>
        <v/>
      </c>
      <c r="F71" s="273">
        <f>IF(A71&lt;&gt;"",""&amp;DATA_DECISION_LOG!F68,"")</f>
        <v/>
      </c>
      <c r="G71" s="273">
        <f>IF(A71&lt;&gt;"",""&amp;DATA_DECISION_LOG!G68,"")</f>
        <v/>
      </c>
      <c r="H71" s="273">
        <f>IF(A71&lt;&gt;"",""&amp;DATA_DECISION_LOG!H68,"")</f>
        <v/>
      </c>
    </row>
    <row r="72" ht="15.75" customHeight="1" s="132">
      <c r="A72" s="273">
        <f>IF(DATA_DECISION_LOG!A69&lt;&gt;"",""&amp;DATA_DECISION_LOG!A69,"")</f>
        <v/>
      </c>
      <c r="B72" s="273">
        <f>IF(A72&lt;&gt;"",""&amp;DATA_DECISION_LOG!B69,"")</f>
        <v/>
      </c>
      <c r="C72" s="273">
        <f>IF(A72&lt;&gt;"",""&amp;DATA_DECISION_LOG!C69,"")</f>
        <v/>
      </c>
      <c r="D72" s="273">
        <f>IF(A72&lt;&gt;"",""&amp;DATA_DECISION_LOG!D69,"")</f>
        <v/>
      </c>
      <c r="E72" s="273">
        <f>IF(A72&lt;&gt;"",""&amp;DATA_DECISION_LOG!E69,"")</f>
        <v/>
      </c>
      <c r="F72" s="273">
        <f>IF(A72&lt;&gt;"",""&amp;DATA_DECISION_LOG!F69,"")</f>
        <v/>
      </c>
      <c r="G72" s="273">
        <f>IF(A72&lt;&gt;"",""&amp;DATA_DECISION_LOG!G69,"")</f>
        <v/>
      </c>
      <c r="H72" s="273">
        <f>IF(A72&lt;&gt;"",""&amp;DATA_DECISION_LOG!H69,"")</f>
        <v/>
      </c>
    </row>
    <row r="73" ht="15.75" customHeight="1" s="132">
      <c r="A73" s="273">
        <f>IF(DATA_DECISION_LOG!A70&lt;&gt;"",""&amp;DATA_DECISION_LOG!A70,"")</f>
        <v/>
      </c>
      <c r="B73" s="273">
        <f>IF(A73&lt;&gt;"",""&amp;DATA_DECISION_LOG!B70,"")</f>
        <v/>
      </c>
      <c r="C73" s="273">
        <f>IF(A73&lt;&gt;"",""&amp;DATA_DECISION_LOG!C70,"")</f>
        <v/>
      </c>
      <c r="D73" s="273">
        <f>IF(A73&lt;&gt;"",""&amp;DATA_DECISION_LOG!D70,"")</f>
        <v/>
      </c>
      <c r="E73" s="273">
        <f>IF(A73&lt;&gt;"",""&amp;DATA_DECISION_LOG!E70,"")</f>
        <v/>
      </c>
      <c r="F73" s="273">
        <f>IF(A73&lt;&gt;"",""&amp;DATA_DECISION_LOG!F70,"")</f>
        <v/>
      </c>
      <c r="G73" s="273">
        <f>IF(A73&lt;&gt;"",""&amp;DATA_DECISION_LOG!G70,"")</f>
        <v/>
      </c>
      <c r="H73" s="273">
        <f>IF(A73&lt;&gt;"",""&amp;DATA_DECISION_LOG!H70,"")</f>
        <v/>
      </c>
    </row>
    <row r="74" ht="15.75" customHeight="1" s="132">
      <c r="A74" s="273">
        <f>IF(DATA_DECISION_LOG!A71&lt;&gt;"",""&amp;DATA_DECISION_LOG!A71,"")</f>
        <v/>
      </c>
      <c r="B74" s="273">
        <f>IF(A74&lt;&gt;"",""&amp;DATA_DECISION_LOG!B71,"")</f>
        <v/>
      </c>
      <c r="C74" s="273">
        <f>IF(A74&lt;&gt;"",""&amp;DATA_DECISION_LOG!C71,"")</f>
        <v/>
      </c>
      <c r="D74" s="273">
        <f>IF(A74&lt;&gt;"",""&amp;DATA_DECISION_LOG!D71,"")</f>
        <v/>
      </c>
      <c r="E74" s="273">
        <f>IF(A74&lt;&gt;"",""&amp;DATA_DECISION_LOG!E71,"")</f>
        <v/>
      </c>
      <c r="F74" s="273">
        <f>IF(A74&lt;&gt;"",""&amp;DATA_DECISION_LOG!F71,"")</f>
        <v/>
      </c>
      <c r="G74" s="273">
        <f>IF(A74&lt;&gt;"",""&amp;DATA_DECISION_LOG!G71,"")</f>
        <v/>
      </c>
      <c r="H74" s="273">
        <f>IF(A74&lt;&gt;"",""&amp;DATA_DECISION_LOG!H71,"")</f>
        <v/>
      </c>
    </row>
    <row r="75" ht="15.75" customHeight="1" s="132">
      <c r="A75" s="273">
        <f>IF(DATA_DECISION_LOG!A72&lt;&gt;"",""&amp;DATA_DECISION_LOG!A72,"")</f>
        <v/>
      </c>
      <c r="B75" s="273">
        <f>IF(A75&lt;&gt;"",""&amp;DATA_DECISION_LOG!B72,"")</f>
        <v/>
      </c>
      <c r="C75" s="273">
        <f>IF(A75&lt;&gt;"",""&amp;DATA_DECISION_LOG!C72,"")</f>
        <v/>
      </c>
      <c r="D75" s="273">
        <f>IF(A75&lt;&gt;"",""&amp;DATA_DECISION_LOG!D72,"")</f>
        <v/>
      </c>
      <c r="E75" s="273">
        <f>IF(A75&lt;&gt;"",""&amp;DATA_DECISION_LOG!E72,"")</f>
        <v/>
      </c>
      <c r="F75" s="273">
        <f>IF(A75&lt;&gt;"",""&amp;DATA_DECISION_LOG!F72,"")</f>
        <v/>
      </c>
      <c r="G75" s="273">
        <f>IF(A75&lt;&gt;"",""&amp;DATA_DECISION_LOG!G72,"")</f>
        <v/>
      </c>
      <c r="H75" s="273">
        <f>IF(A75&lt;&gt;"",""&amp;DATA_DECISION_LOG!H72,"")</f>
        <v/>
      </c>
    </row>
    <row r="76" ht="15.75" customHeight="1" s="132">
      <c r="A76" s="273">
        <f>IF(DATA_DECISION_LOG!A73&lt;&gt;"",""&amp;DATA_DECISION_LOG!A73,"")</f>
        <v/>
      </c>
      <c r="B76" s="273">
        <f>IF(A76&lt;&gt;"",""&amp;DATA_DECISION_LOG!B73,"")</f>
        <v/>
      </c>
      <c r="C76" s="273">
        <f>IF(A76&lt;&gt;"",""&amp;DATA_DECISION_LOG!C73,"")</f>
        <v/>
      </c>
      <c r="D76" s="273">
        <f>IF(A76&lt;&gt;"",""&amp;DATA_DECISION_LOG!D73,"")</f>
        <v/>
      </c>
      <c r="E76" s="273">
        <f>IF(A76&lt;&gt;"",""&amp;DATA_DECISION_LOG!E73,"")</f>
        <v/>
      </c>
      <c r="F76" s="273">
        <f>IF(A76&lt;&gt;"",""&amp;DATA_DECISION_LOG!F73,"")</f>
        <v/>
      </c>
      <c r="G76" s="273">
        <f>IF(A76&lt;&gt;"",""&amp;DATA_DECISION_LOG!G73,"")</f>
        <v/>
      </c>
      <c r="H76" s="273">
        <f>IF(A76&lt;&gt;"",""&amp;DATA_DECISION_LOG!H73,"")</f>
        <v/>
      </c>
    </row>
    <row r="77" ht="15.75" customHeight="1" s="132">
      <c r="A77" s="273">
        <f>IF(DATA_DECISION_LOG!A74&lt;&gt;"",""&amp;DATA_DECISION_LOG!A74,"")</f>
        <v/>
      </c>
      <c r="B77" s="273">
        <f>IF(A77&lt;&gt;"",""&amp;DATA_DECISION_LOG!B74,"")</f>
        <v/>
      </c>
      <c r="C77" s="273">
        <f>IF(A77&lt;&gt;"",""&amp;DATA_DECISION_LOG!C74,"")</f>
        <v/>
      </c>
      <c r="D77" s="273">
        <f>IF(A77&lt;&gt;"",""&amp;DATA_DECISION_LOG!D74,"")</f>
        <v/>
      </c>
      <c r="E77" s="273">
        <f>IF(A77&lt;&gt;"",""&amp;DATA_DECISION_LOG!E74,"")</f>
        <v/>
      </c>
      <c r="F77" s="273">
        <f>IF(A77&lt;&gt;"",""&amp;DATA_DECISION_LOG!F74,"")</f>
        <v/>
      </c>
      <c r="G77" s="273">
        <f>IF(A77&lt;&gt;"",""&amp;DATA_DECISION_LOG!G74,"")</f>
        <v/>
      </c>
      <c r="H77" s="273">
        <f>IF(A77&lt;&gt;"",""&amp;DATA_DECISION_LOG!H74,"")</f>
        <v/>
      </c>
    </row>
    <row r="78" ht="15.75" customHeight="1" s="132">
      <c r="A78" s="273">
        <f>IF(DATA_DECISION_LOG!A75&lt;&gt;"",""&amp;DATA_DECISION_LOG!A75,"")</f>
        <v/>
      </c>
      <c r="B78" s="273">
        <f>IF(A78&lt;&gt;"",""&amp;DATA_DECISION_LOG!B75,"")</f>
        <v/>
      </c>
      <c r="C78" s="273">
        <f>IF(A78&lt;&gt;"",""&amp;DATA_DECISION_LOG!C75,"")</f>
        <v/>
      </c>
      <c r="D78" s="273">
        <f>IF(A78&lt;&gt;"",""&amp;DATA_DECISION_LOG!D75,"")</f>
        <v/>
      </c>
      <c r="E78" s="273">
        <f>IF(A78&lt;&gt;"",""&amp;DATA_DECISION_LOG!E75,"")</f>
        <v/>
      </c>
      <c r="F78" s="273">
        <f>IF(A78&lt;&gt;"",""&amp;DATA_DECISION_LOG!F75,"")</f>
        <v/>
      </c>
      <c r="G78" s="273">
        <f>IF(A78&lt;&gt;"",""&amp;DATA_DECISION_LOG!G75,"")</f>
        <v/>
      </c>
      <c r="H78" s="273">
        <f>IF(A78&lt;&gt;"",""&amp;DATA_DECISION_LOG!H75,"")</f>
        <v/>
      </c>
    </row>
    <row r="79" ht="15.75" customHeight="1" s="132">
      <c r="A79" s="273">
        <f>IF(DATA_DECISION_LOG!A76&lt;&gt;"",""&amp;DATA_DECISION_LOG!A76,"")</f>
        <v/>
      </c>
      <c r="B79" s="273">
        <f>IF(A79&lt;&gt;"",""&amp;DATA_DECISION_LOG!B76,"")</f>
        <v/>
      </c>
      <c r="C79" s="273">
        <f>IF(A79&lt;&gt;"",""&amp;DATA_DECISION_LOG!C76,"")</f>
        <v/>
      </c>
      <c r="D79" s="273">
        <f>IF(A79&lt;&gt;"",""&amp;DATA_DECISION_LOG!D76,"")</f>
        <v/>
      </c>
      <c r="E79" s="273">
        <f>IF(A79&lt;&gt;"",""&amp;DATA_DECISION_LOG!E76,"")</f>
        <v/>
      </c>
      <c r="F79" s="273">
        <f>IF(A79&lt;&gt;"",""&amp;DATA_DECISION_LOG!F76,"")</f>
        <v/>
      </c>
      <c r="G79" s="273">
        <f>IF(A79&lt;&gt;"",""&amp;DATA_DECISION_LOG!G76,"")</f>
        <v/>
      </c>
      <c r="H79" s="273">
        <f>IF(A79&lt;&gt;"",""&amp;DATA_DECISION_LOG!H76,"")</f>
        <v/>
      </c>
    </row>
    <row r="80" ht="15.75" customHeight="1" s="132">
      <c r="A80" s="273">
        <f>IF(DATA_DECISION_LOG!A77&lt;&gt;"",""&amp;DATA_DECISION_LOG!A77,"")</f>
        <v/>
      </c>
      <c r="B80" s="273">
        <f>IF(A80&lt;&gt;"",""&amp;DATA_DECISION_LOG!B77,"")</f>
        <v/>
      </c>
      <c r="C80" s="273">
        <f>IF(A80&lt;&gt;"",""&amp;DATA_DECISION_LOG!C77,"")</f>
        <v/>
      </c>
      <c r="D80" s="273">
        <f>IF(A80&lt;&gt;"",""&amp;DATA_DECISION_LOG!D77,"")</f>
        <v/>
      </c>
      <c r="E80" s="273">
        <f>IF(A80&lt;&gt;"",""&amp;DATA_DECISION_LOG!E77,"")</f>
        <v/>
      </c>
      <c r="F80" s="273">
        <f>IF(A80&lt;&gt;"",""&amp;DATA_DECISION_LOG!F77,"")</f>
        <v/>
      </c>
      <c r="G80" s="273">
        <f>IF(A80&lt;&gt;"",""&amp;DATA_DECISION_LOG!G77,"")</f>
        <v/>
      </c>
      <c r="H80" s="273">
        <f>IF(A80&lt;&gt;"",""&amp;DATA_DECISION_LOG!H77,"")</f>
        <v/>
      </c>
    </row>
    <row r="81" ht="15.75" customHeight="1" s="132">
      <c r="A81" s="273">
        <f>IF(DATA_DECISION_LOG!A78&lt;&gt;"",""&amp;DATA_DECISION_LOG!A78,"")</f>
        <v/>
      </c>
      <c r="B81" s="273">
        <f>IF(A81&lt;&gt;"",""&amp;DATA_DECISION_LOG!B78,"")</f>
        <v/>
      </c>
      <c r="C81" s="273">
        <f>IF(A81&lt;&gt;"",""&amp;DATA_DECISION_LOG!C78,"")</f>
        <v/>
      </c>
      <c r="D81" s="273">
        <f>IF(A81&lt;&gt;"",""&amp;DATA_DECISION_LOG!D78,"")</f>
        <v/>
      </c>
      <c r="E81" s="273">
        <f>IF(A81&lt;&gt;"",""&amp;DATA_DECISION_LOG!E78,"")</f>
        <v/>
      </c>
      <c r="F81" s="273">
        <f>IF(A81&lt;&gt;"",""&amp;DATA_DECISION_LOG!F78,"")</f>
        <v/>
      </c>
      <c r="G81" s="273">
        <f>IF(A81&lt;&gt;"",""&amp;DATA_DECISION_LOG!G78,"")</f>
        <v/>
      </c>
      <c r="H81" s="273">
        <f>IF(A81&lt;&gt;"",""&amp;DATA_DECISION_LOG!H78,"")</f>
        <v/>
      </c>
    </row>
    <row r="82" ht="15.75" customHeight="1" s="132">
      <c r="A82" s="273">
        <f>IF(DATA_DECISION_LOG!A79&lt;&gt;"",""&amp;DATA_DECISION_LOG!A79,"")</f>
        <v/>
      </c>
      <c r="B82" s="273">
        <f>IF(A82&lt;&gt;"",""&amp;DATA_DECISION_LOG!B79,"")</f>
        <v/>
      </c>
      <c r="C82" s="273">
        <f>IF(A82&lt;&gt;"",""&amp;DATA_DECISION_LOG!C79,"")</f>
        <v/>
      </c>
      <c r="D82" s="273">
        <f>IF(A82&lt;&gt;"",""&amp;DATA_DECISION_LOG!D79,"")</f>
        <v/>
      </c>
      <c r="E82" s="273">
        <f>IF(A82&lt;&gt;"",""&amp;DATA_DECISION_LOG!E79,"")</f>
        <v/>
      </c>
      <c r="F82" s="273">
        <f>IF(A82&lt;&gt;"",""&amp;DATA_DECISION_LOG!F79,"")</f>
        <v/>
      </c>
      <c r="G82" s="273">
        <f>IF(A82&lt;&gt;"",""&amp;DATA_DECISION_LOG!G79,"")</f>
        <v/>
      </c>
      <c r="H82" s="273">
        <f>IF(A82&lt;&gt;"",""&amp;DATA_DECISION_LOG!H79,"")</f>
        <v/>
      </c>
    </row>
    <row r="83" ht="15.75" customHeight="1" s="132">
      <c r="A83" s="273">
        <f>IF(DATA_DECISION_LOG!A80&lt;&gt;"",""&amp;DATA_DECISION_LOG!A80,"")</f>
        <v/>
      </c>
      <c r="B83" s="273">
        <f>IF(A83&lt;&gt;"",""&amp;DATA_DECISION_LOG!B80,"")</f>
        <v/>
      </c>
      <c r="C83" s="273">
        <f>IF(A83&lt;&gt;"",""&amp;DATA_DECISION_LOG!C80,"")</f>
        <v/>
      </c>
      <c r="D83" s="273">
        <f>IF(A83&lt;&gt;"",""&amp;DATA_DECISION_LOG!D80,"")</f>
        <v/>
      </c>
      <c r="E83" s="273">
        <f>IF(A83&lt;&gt;"",""&amp;DATA_DECISION_LOG!E80,"")</f>
        <v/>
      </c>
      <c r="F83" s="273">
        <f>IF(A83&lt;&gt;"",""&amp;DATA_DECISION_LOG!F80,"")</f>
        <v/>
      </c>
      <c r="G83" s="273">
        <f>IF(A83&lt;&gt;"",""&amp;DATA_DECISION_LOG!G80,"")</f>
        <v/>
      </c>
      <c r="H83" s="273">
        <f>IF(A83&lt;&gt;"",""&amp;DATA_DECISION_LOG!H80,"")</f>
        <v/>
      </c>
    </row>
    <row r="84" ht="15.75" customHeight="1" s="132">
      <c r="A84" s="273">
        <f>IF(DATA_DECISION_LOG!A81&lt;&gt;"",""&amp;DATA_DECISION_LOG!A81,"")</f>
        <v/>
      </c>
      <c r="B84" s="273">
        <f>IF(A84&lt;&gt;"",""&amp;DATA_DECISION_LOG!B81,"")</f>
        <v/>
      </c>
      <c r="C84" s="273">
        <f>IF(A84&lt;&gt;"",""&amp;DATA_DECISION_LOG!C81,"")</f>
        <v/>
      </c>
      <c r="D84" s="273">
        <f>IF(A84&lt;&gt;"",""&amp;DATA_DECISION_LOG!D81,"")</f>
        <v/>
      </c>
      <c r="E84" s="273">
        <f>IF(A84&lt;&gt;"",""&amp;DATA_DECISION_LOG!E81,"")</f>
        <v/>
      </c>
      <c r="F84" s="273">
        <f>IF(A84&lt;&gt;"",""&amp;DATA_DECISION_LOG!F81,"")</f>
        <v/>
      </c>
      <c r="G84" s="273">
        <f>IF(A84&lt;&gt;"",""&amp;DATA_DECISION_LOG!G81,"")</f>
        <v/>
      </c>
      <c r="H84" s="273">
        <f>IF(A84&lt;&gt;"",""&amp;DATA_DECISION_LOG!H81,"")</f>
        <v/>
      </c>
    </row>
    <row r="85" ht="15.75" customHeight="1" s="132">
      <c r="A85" s="273">
        <f>IF(DATA_DECISION_LOG!A82&lt;&gt;"",""&amp;DATA_DECISION_LOG!A82,"")</f>
        <v/>
      </c>
      <c r="B85" s="273">
        <f>IF(A85&lt;&gt;"",""&amp;DATA_DECISION_LOG!B82,"")</f>
        <v/>
      </c>
      <c r="C85" s="273">
        <f>IF(A85&lt;&gt;"",""&amp;DATA_DECISION_LOG!C82,"")</f>
        <v/>
      </c>
      <c r="D85" s="273">
        <f>IF(A85&lt;&gt;"",""&amp;DATA_DECISION_LOG!D82,"")</f>
        <v/>
      </c>
      <c r="E85" s="273">
        <f>IF(A85&lt;&gt;"",""&amp;DATA_DECISION_LOG!E82,"")</f>
        <v/>
      </c>
      <c r="F85" s="273">
        <f>IF(A85&lt;&gt;"",""&amp;DATA_DECISION_LOG!F82,"")</f>
        <v/>
      </c>
      <c r="G85" s="273">
        <f>IF(A85&lt;&gt;"",""&amp;DATA_DECISION_LOG!G82,"")</f>
        <v/>
      </c>
      <c r="H85" s="273">
        <f>IF(A85&lt;&gt;"",""&amp;DATA_DECISION_LOG!H82,"")</f>
        <v/>
      </c>
    </row>
    <row r="86" ht="15.75" customHeight="1" s="132">
      <c r="A86" s="273">
        <f>IF(DATA_DECISION_LOG!A83&lt;&gt;"",""&amp;DATA_DECISION_LOG!A83,"")</f>
        <v/>
      </c>
      <c r="B86" s="273">
        <f>IF(A86&lt;&gt;"",""&amp;DATA_DECISION_LOG!B83,"")</f>
        <v/>
      </c>
      <c r="C86" s="273">
        <f>IF(A86&lt;&gt;"",""&amp;DATA_DECISION_LOG!C83,"")</f>
        <v/>
      </c>
      <c r="D86" s="273">
        <f>IF(A86&lt;&gt;"",""&amp;DATA_DECISION_LOG!D83,"")</f>
        <v/>
      </c>
      <c r="E86" s="273">
        <f>IF(A86&lt;&gt;"",""&amp;DATA_DECISION_LOG!E83,"")</f>
        <v/>
      </c>
      <c r="F86" s="273">
        <f>IF(A86&lt;&gt;"",""&amp;DATA_DECISION_LOG!F83,"")</f>
        <v/>
      </c>
      <c r="G86" s="273">
        <f>IF(A86&lt;&gt;"",""&amp;DATA_DECISION_LOG!G83,"")</f>
        <v/>
      </c>
      <c r="H86" s="273">
        <f>IF(A86&lt;&gt;"",""&amp;DATA_DECISION_LOG!H83,"")</f>
        <v/>
      </c>
    </row>
    <row r="87" ht="15.75" customHeight="1" s="132">
      <c r="A87" s="273">
        <f>IF(DATA_DECISION_LOG!A84&lt;&gt;"",""&amp;DATA_DECISION_LOG!A84,"")</f>
        <v/>
      </c>
      <c r="B87" s="273">
        <f>IF(A87&lt;&gt;"",""&amp;DATA_DECISION_LOG!B84,"")</f>
        <v/>
      </c>
      <c r="C87" s="273">
        <f>IF(A87&lt;&gt;"",""&amp;DATA_DECISION_LOG!C84,"")</f>
        <v/>
      </c>
      <c r="D87" s="273">
        <f>IF(A87&lt;&gt;"",""&amp;DATA_DECISION_LOG!D84,"")</f>
        <v/>
      </c>
      <c r="E87" s="273">
        <f>IF(A87&lt;&gt;"",""&amp;DATA_DECISION_LOG!E84,"")</f>
        <v/>
      </c>
      <c r="F87" s="273">
        <f>IF(A87&lt;&gt;"",""&amp;DATA_DECISION_LOG!F84,"")</f>
        <v/>
      </c>
      <c r="G87" s="273">
        <f>IF(A87&lt;&gt;"",""&amp;DATA_DECISION_LOG!G84,"")</f>
        <v/>
      </c>
      <c r="H87" s="273">
        <f>IF(A87&lt;&gt;"",""&amp;DATA_DECISION_LOG!H84,"")</f>
        <v/>
      </c>
    </row>
    <row r="88" ht="15.75" customHeight="1" s="132">
      <c r="A88" s="273">
        <f>IF(DATA_DECISION_LOG!A85&lt;&gt;"",""&amp;DATA_DECISION_LOG!A85,"")</f>
        <v/>
      </c>
      <c r="B88" s="273">
        <f>IF(A88&lt;&gt;"",""&amp;DATA_DECISION_LOG!B85,"")</f>
        <v/>
      </c>
      <c r="C88" s="273">
        <f>IF(A88&lt;&gt;"",""&amp;DATA_DECISION_LOG!C85,"")</f>
        <v/>
      </c>
      <c r="D88" s="273">
        <f>IF(A88&lt;&gt;"",""&amp;DATA_DECISION_LOG!D85,"")</f>
        <v/>
      </c>
      <c r="E88" s="273">
        <f>IF(A88&lt;&gt;"",""&amp;DATA_DECISION_LOG!E85,"")</f>
        <v/>
      </c>
      <c r="F88" s="273">
        <f>IF(A88&lt;&gt;"",""&amp;DATA_DECISION_LOG!F85,"")</f>
        <v/>
      </c>
      <c r="G88" s="273">
        <f>IF(A88&lt;&gt;"",""&amp;DATA_DECISION_LOG!G85,"")</f>
        <v/>
      </c>
      <c r="H88" s="273">
        <f>IF(A88&lt;&gt;"",""&amp;DATA_DECISION_LOG!H85,"")</f>
        <v/>
      </c>
    </row>
    <row r="89" ht="15.75" customHeight="1" s="132">
      <c r="A89" s="273">
        <f>IF(DATA_DECISION_LOG!A86&lt;&gt;"",""&amp;DATA_DECISION_LOG!A86,"")</f>
        <v/>
      </c>
      <c r="B89" s="273">
        <f>IF(A89&lt;&gt;"",""&amp;DATA_DECISION_LOG!B86,"")</f>
        <v/>
      </c>
      <c r="C89" s="273">
        <f>IF(A89&lt;&gt;"",""&amp;DATA_DECISION_LOG!C86,"")</f>
        <v/>
      </c>
      <c r="D89" s="273">
        <f>IF(A89&lt;&gt;"",""&amp;DATA_DECISION_LOG!D86,"")</f>
        <v/>
      </c>
      <c r="E89" s="273">
        <f>IF(A89&lt;&gt;"",""&amp;DATA_DECISION_LOG!E86,"")</f>
        <v/>
      </c>
      <c r="F89" s="273">
        <f>IF(A89&lt;&gt;"",""&amp;DATA_DECISION_LOG!F86,"")</f>
        <v/>
      </c>
      <c r="G89" s="273">
        <f>IF(A89&lt;&gt;"",""&amp;DATA_DECISION_LOG!G86,"")</f>
        <v/>
      </c>
      <c r="H89" s="273">
        <f>IF(A89&lt;&gt;"",""&amp;DATA_DECISION_LOG!H86,"")</f>
        <v/>
      </c>
    </row>
    <row r="90" ht="15.75" customHeight="1" s="132">
      <c r="A90" s="273">
        <f>IF(DATA_DECISION_LOG!A87&lt;&gt;"",""&amp;DATA_DECISION_LOG!A87,"")</f>
        <v/>
      </c>
      <c r="B90" s="273">
        <f>IF(A90&lt;&gt;"",""&amp;DATA_DECISION_LOG!B87,"")</f>
        <v/>
      </c>
      <c r="C90" s="273">
        <f>IF(A90&lt;&gt;"",""&amp;DATA_DECISION_LOG!C87,"")</f>
        <v/>
      </c>
      <c r="D90" s="273">
        <f>IF(A90&lt;&gt;"",""&amp;DATA_DECISION_LOG!D87,"")</f>
        <v/>
      </c>
      <c r="E90" s="273">
        <f>IF(A90&lt;&gt;"",""&amp;DATA_DECISION_LOG!E87,"")</f>
        <v/>
      </c>
      <c r="F90" s="273">
        <f>IF(A90&lt;&gt;"",""&amp;DATA_DECISION_LOG!F87,"")</f>
        <v/>
      </c>
      <c r="G90" s="273">
        <f>IF(A90&lt;&gt;"",""&amp;DATA_DECISION_LOG!G87,"")</f>
        <v/>
      </c>
      <c r="H90" s="273">
        <f>IF(A90&lt;&gt;"",""&amp;DATA_DECISION_LOG!H87,"")</f>
        <v/>
      </c>
    </row>
    <row r="91" ht="15.75" customHeight="1" s="132">
      <c r="A91" s="273">
        <f>IF(DATA_DECISION_LOG!A88&lt;&gt;"",""&amp;DATA_DECISION_LOG!A88,"")</f>
        <v/>
      </c>
      <c r="B91" s="273">
        <f>IF(A91&lt;&gt;"",""&amp;DATA_DECISION_LOG!B88,"")</f>
        <v/>
      </c>
      <c r="C91" s="273">
        <f>IF(A91&lt;&gt;"",""&amp;DATA_DECISION_LOG!C88,"")</f>
        <v/>
      </c>
      <c r="D91" s="273">
        <f>IF(A91&lt;&gt;"",""&amp;DATA_DECISION_LOG!D88,"")</f>
        <v/>
      </c>
      <c r="E91" s="273">
        <f>IF(A91&lt;&gt;"",""&amp;DATA_DECISION_LOG!E88,"")</f>
        <v/>
      </c>
      <c r="F91" s="273">
        <f>IF(A91&lt;&gt;"",""&amp;DATA_DECISION_LOG!F88,"")</f>
        <v/>
      </c>
      <c r="G91" s="273">
        <f>IF(A91&lt;&gt;"",""&amp;DATA_DECISION_LOG!G88,"")</f>
        <v/>
      </c>
      <c r="H91" s="273">
        <f>IF(A91&lt;&gt;"",""&amp;DATA_DECISION_LOG!H88,"")</f>
        <v/>
      </c>
    </row>
    <row r="92" ht="15.75" customHeight="1" s="132">
      <c r="A92" s="273">
        <f>IF(DATA_DECISION_LOG!A89&lt;&gt;"",""&amp;DATA_DECISION_LOG!A89,"")</f>
        <v/>
      </c>
      <c r="B92" s="273">
        <f>IF(A92&lt;&gt;"",""&amp;DATA_DECISION_LOG!B89,"")</f>
        <v/>
      </c>
      <c r="C92" s="273">
        <f>IF(A92&lt;&gt;"",""&amp;DATA_DECISION_LOG!C89,"")</f>
        <v/>
      </c>
      <c r="D92" s="273">
        <f>IF(A92&lt;&gt;"",""&amp;DATA_DECISION_LOG!D89,"")</f>
        <v/>
      </c>
      <c r="E92" s="273">
        <f>IF(A92&lt;&gt;"",""&amp;DATA_DECISION_LOG!E89,"")</f>
        <v/>
      </c>
      <c r="F92" s="273">
        <f>IF(A92&lt;&gt;"",""&amp;DATA_DECISION_LOG!F89,"")</f>
        <v/>
      </c>
      <c r="G92" s="273">
        <f>IF(A92&lt;&gt;"",""&amp;DATA_DECISION_LOG!G89,"")</f>
        <v/>
      </c>
      <c r="H92" s="273">
        <f>IF(A92&lt;&gt;"",""&amp;DATA_DECISION_LOG!H89,"")</f>
        <v/>
      </c>
    </row>
    <row r="93" ht="15.75" customHeight="1" s="132">
      <c r="A93" s="273">
        <f>IF(DATA_DECISION_LOG!A90&lt;&gt;"",""&amp;DATA_DECISION_LOG!A90,"")</f>
        <v/>
      </c>
      <c r="B93" s="273">
        <f>IF(A93&lt;&gt;"",""&amp;DATA_DECISION_LOG!B90,"")</f>
        <v/>
      </c>
      <c r="C93" s="273">
        <f>IF(A93&lt;&gt;"",""&amp;DATA_DECISION_LOG!C90,"")</f>
        <v/>
      </c>
      <c r="D93" s="273">
        <f>IF(A93&lt;&gt;"",""&amp;DATA_DECISION_LOG!D90,"")</f>
        <v/>
      </c>
      <c r="E93" s="273">
        <f>IF(A93&lt;&gt;"",""&amp;DATA_DECISION_LOG!E90,"")</f>
        <v/>
      </c>
      <c r="F93" s="273">
        <f>IF(A93&lt;&gt;"",""&amp;DATA_DECISION_LOG!F90,"")</f>
        <v/>
      </c>
      <c r="G93" s="273">
        <f>IF(A93&lt;&gt;"",""&amp;DATA_DECISION_LOG!G90,"")</f>
        <v/>
      </c>
      <c r="H93" s="273">
        <f>IF(A93&lt;&gt;"",""&amp;DATA_DECISION_LOG!H90,"")</f>
        <v/>
      </c>
    </row>
    <row r="94" ht="15.75" customHeight="1" s="132">
      <c r="A94" s="273">
        <f>IF(DATA_DECISION_LOG!A91&lt;&gt;"",""&amp;DATA_DECISION_LOG!A91,"")</f>
        <v/>
      </c>
      <c r="B94" s="273">
        <f>IF(A94&lt;&gt;"",""&amp;DATA_DECISION_LOG!B91,"")</f>
        <v/>
      </c>
      <c r="C94" s="273">
        <f>IF(A94&lt;&gt;"",""&amp;DATA_DECISION_LOG!C91,"")</f>
        <v/>
      </c>
      <c r="D94" s="273">
        <f>IF(A94&lt;&gt;"",""&amp;DATA_DECISION_LOG!D91,"")</f>
        <v/>
      </c>
      <c r="E94" s="273">
        <f>IF(A94&lt;&gt;"",""&amp;DATA_DECISION_LOG!E91,"")</f>
        <v/>
      </c>
      <c r="F94" s="273">
        <f>IF(A94&lt;&gt;"",""&amp;DATA_DECISION_LOG!F91,"")</f>
        <v/>
      </c>
      <c r="G94" s="273">
        <f>IF(A94&lt;&gt;"",""&amp;DATA_DECISION_LOG!G91,"")</f>
        <v/>
      </c>
      <c r="H94" s="273">
        <f>IF(A94&lt;&gt;"",""&amp;DATA_DECISION_LOG!H91,"")</f>
        <v/>
      </c>
    </row>
    <row r="95" ht="15.75" customHeight="1" s="132">
      <c r="A95" s="273">
        <f>IF(DATA_DECISION_LOG!A92&lt;&gt;"",""&amp;DATA_DECISION_LOG!A92,"")</f>
        <v/>
      </c>
      <c r="B95" s="273">
        <f>IF(A95&lt;&gt;"",""&amp;DATA_DECISION_LOG!B92,"")</f>
        <v/>
      </c>
      <c r="C95" s="273">
        <f>IF(A95&lt;&gt;"",""&amp;DATA_DECISION_LOG!C92,"")</f>
        <v/>
      </c>
      <c r="D95" s="273">
        <f>IF(A95&lt;&gt;"",""&amp;DATA_DECISION_LOG!D92,"")</f>
        <v/>
      </c>
      <c r="E95" s="273">
        <f>IF(A95&lt;&gt;"",""&amp;DATA_DECISION_LOG!E92,"")</f>
        <v/>
      </c>
      <c r="F95" s="273">
        <f>IF(A95&lt;&gt;"",""&amp;DATA_DECISION_LOG!F92,"")</f>
        <v/>
      </c>
      <c r="G95" s="273">
        <f>IF(A95&lt;&gt;"",""&amp;DATA_DECISION_LOG!G92,"")</f>
        <v/>
      </c>
      <c r="H95" s="273">
        <f>IF(A95&lt;&gt;"",""&amp;DATA_DECISION_LOG!H92,"")</f>
        <v/>
      </c>
    </row>
    <row r="96" ht="15.75" customHeight="1" s="132">
      <c r="A96" s="273">
        <f>IF(DATA_DECISION_LOG!A93&lt;&gt;"",""&amp;DATA_DECISION_LOG!A93,"")</f>
        <v/>
      </c>
      <c r="B96" s="273">
        <f>IF(A96&lt;&gt;"",""&amp;DATA_DECISION_LOG!B93,"")</f>
        <v/>
      </c>
      <c r="C96" s="273">
        <f>IF(A96&lt;&gt;"",""&amp;DATA_DECISION_LOG!C93,"")</f>
        <v/>
      </c>
      <c r="D96" s="273">
        <f>IF(A96&lt;&gt;"",""&amp;DATA_DECISION_LOG!D93,"")</f>
        <v/>
      </c>
      <c r="E96" s="273">
        <f>IF(A96&lt;&gt;"",""&amp;DATA_DECISION_LOG!E93,"")</f>
        <v/>
      </c>
      <c r="F96" s="273">
        <f>IF(A96&lt;&gt;"",""&amp;DATA_DECISION_LOG!F93,"")</f>
        <v/>
      </c>
      <c r="G96" s="273">
        <f>IF(A96&lt;&gt;"",""&amp;DATA_DECISION_LOG!G93,"")</f>
        <v/>
      </c>
      <c r="H96" s="273">
        <f>IF(A96&lt;&gt;"",""&amp;DATA_DECISION_LOG!H93,"")</f>
        <v/>
      </c>
    </row>
    <row r="97" ht="15.75" customHeight="1" s="132">
      <c r="A97" s="273">
        <f>IF(DATA_DECISION_LOG!A94&lt;&gt;"",""&amp;DATA_DECISION_LOG!A94,"")</f>
        <v/>
      </c>
      <c r="B97" s="273">
        <f>IF(A97&lt;&gt;"",""&amp;DATA_DECISION_LOG!B94,"")</f>
        <v/>
      </c>
      <c r="C97" s="273">
        <f>IF(A97&lt;&gt;"",""&amp;DATA_DECISION_LOG!C94,"")</f>
        <v/>
      </c>
      <c r="D97" s="273">
        <f>IF(A97&lt;&gt;"",""&amp;DATA_DECISION_LOG!D94,"")</f>
        <v/>
      </c>
      <c r="E97" s="273">
        <f>IF(A97&lt;&gt;"",""&amp;DATA_DECISION_LOG!E94,"")</f>
        <v/>
      </c>
      <c r="F97" s="273">
        <f>IF(A97&lt;&gt;"",""&amp;DATA_DECISION_LOG!F94,"")</f>
        <v/>
      </c>
      <c r="G97" s="273">
        <f>IF(A97&lt;&gt;"",""&amp;DATA_DECISION_LOG!G94,"")</f>
        <v/>
      </c>
      <c r="H97" s="273">
        <f>IF(A97&lt;&gt;"",""&amp;DATA_DECISION_LOG!H94,"")</f>
        <v/>
      </c>
    </row>
    <row r="98" ht="15.75" customHeight="1" s="132">
      <c r="A98" s="273">
        <f>IF(DATA_DECISION_LOG!A95&lt;&gt;"",""&amp;DATA_DECISION_LOG!A95,"")</f>
        <v/>
      </c>
      <c r="B98" s="273">
        <f>IF(A98&lt;&gt;"",""&amp;DATA_DECISION_LOG!B95,"")</f>
        <v/>
      </c>
      <c r="C98" s="273">
        <f>IF(A98&lt;&gt;"",""&amp;DATA_DECISION_LOG!C95,"")</f>
        <v/>
      </c>
      <c r="D98" s="273">
        <f>IF(A98&lt;&gt;"",""&amp;DATA_DECISION_LOG!D95,"")</f>
        <v/>
      </c>
      <c r="E98" s="273">
        <f>IF(A98&lt;&gt;"",""&amp;DATA_DECISION_LOG!E95,"")</f>
        <v/>
      </c>
      <c r="F98" s="273">
        <f>IF(A98&lt;&gt;"",""&amp;DATA_DECISION_LOG!F95,"")</f>
        <v/>
      </c>
      <c r="G98" s="273">
        <f>IF(A98&lt;&gt;"",""&amp;DATA_DECISION_LOG!G95,"")</f>
        <v/>
      </c>
      <c r="H98" s="273">
        <f>IF(A98&lt;&gt;"",""&amp;DATA_DECISION_LOG!H95,"")</f>
        <v/>
      </c>
    </row>
    <row r="99" ht="15.75" customHeight="1" s="132">
      <c r="A99" s="273">
        <f>IF(DATA_DECISION_LOG!A96&lt;&gt;"",""&amp;DATA_DECISION_LOG!A96,"")</f>
        <v/>
      </c>
      <c r="B99" s="273">
        <f>IF(A99&lt;&gt;"",""&amp;DATA_DECISION_LOG!B96,"")</f>
        <v/>
      </c>
      <c r="C99" s="273">
        <f>IF(A99&lt;&gt;"",""&amp;DATA_DECISION_LOG!C96,"")</f>
        <v/>
      </c>
      <c r="D99" s="273">
        <f>IF(A99&lt;&gt;"",""&amp;DATA_DECISION_LOG!D96,"")</f>
        <v/>
      </c>
      <c r="E99" s="273">
        <f>IF(A99&lt;&gt;"",""&amp;DATA_DECISION_LOG!E96,"")</f>
        <v/>
      </c>
      <c r="F99" s="273">
        <f>IF(A99&lt;&gt;"",""&amp;DATA_DECISION_LOG!F96,"")</f>
        <v/>
      </c>
      <c r="G99" s="273">
        <f>IF(A99&lt;&gt;"",""&amp;DATA_DECISION_LOG!G96,"")</f>
        <v/>
      </c>
      <c r="H99" s="273">
        <f>IF(A99&lt;&gt;"",""&amp;DATA_DECISION_LOG!H96,"")</f>
        <v/>
      </c>
    </row>
    <row r="100" ht="15.75" customHeight="1" s="132">
      <c r="A100" s="273">
        <f>IF(DATA_DECISION_LOG!A97&lt;&gt;"",""&amp;DATA_DECISION_LOG!A97,"")</f>
        <v/>
      </c>
      <c r="B100" s="273">
        <f>IF(A100&lt;&gt;"",""&amp;DATA_DECISION_LOG!B97,"")</f>
        <v/>
      </c>
      <c r="C100" s="273">
        <f>IF(A100&lt;&gt;"",""&amp;DATA_DECISION_LOG!C97,"")</f>
        <v/>
      </c>
      <c r="D100" s="273">
        <f>IF(A100&lt;&gt;"",""&amp;DATA_DECISION_LOG!D97,"")</f>
        <v/>
      </c>
      <c r="E100" s="273">
        <f>IF(A100&lt;&gt;"",""&amp;DATA_DECISION_LOG!E97,"")</f>
        <v/>
      </c>
      <c r="F100" s="273">
        <f>IF(A100&lt;&gt;"",""&amp;DATA_DECISION_LOG!F97,"")</f>
        <v/>
      </c>
      <c r="G100" s="273">
        <f>IF(A100&lt;&gt;"",""&amp;DATA_DECISION_LOG!G97,"")</f>
        <v/>
      </c>
      <c r="H100" s="273">
        <f>IF(A100&lt;&gt;"",""&amp;DATA_DECISION_LOG!H97,"")</f>
        <v/>
      </c>
    </row>
    <row r="101" ht="15.75" customHeight="1" s="132">
      <c r="A101" s="273">
        <f>IF(DATA_DECISION_LOG!A98&lt;&gt;"",""&amp;DATA_DECISION_LOG!A98,"")</f>
        <v/>
      </c>
      <c r="B101" s="273">
        <f>IF(A101&lt;&gt;"",""&amp;DATA_DECISION_LOG!B98,"")</f>
        <v/>
      </c>
      <c r="C101" s="273">
        <f>IF(A101&lt;&gt;"",""&amp;DATA_DECISION_LOG!C98,"")</f>
        <v/>
      </c>
      <c r="D101" s="273">
        <f>IF(A101&lt;&gt;"",""&amp;DATA_DECISION_LOG!D98,"")</f>
        <v/>
      </c>
      <c r="E101" s="273">
        <f>IF(A101&lt;&gt;"",""&amp;DATA_DECISION_LOG!E98,"")</f>
        <v/>
      </c>
      <c r="F101" s="273">
        <f>IF(A101&lt;&gt;"",""&amp;DATA_DECISION_LOG!F98,"")</f>
        <v/>
      </c>
      <c r="G101" s="273">
        <f>IF(A101&lt;&gt;"",""&amp;DATA_DECISION_LOG!G98,"")</f>
        <v/>
      </c>
      <c r="H101" s="273">
        <f>IF(A101&lt;&gt;"",""&amp;DATA_DECISION_LOG!H98,"")</f>
        <v/>
      </c>
    </row>
    <row r="102" ht="15.75" customHeight="1" s="132">
      <c r="A102" s="273">
        <f>IF(DATA_DECISION_LOG!A99&lt;&gt;"",""&amp;DATA_DECISION_LOG!A99,"")</f>
        <v/>
      </c>
      <c r="B102" s="273">
        <f>IF(A102&lt;&gt;"",""&amp;DATA_DECISION_LOG!B99,"")</f>
        <v/>
      </c>
      <c r="C102" s="273">
        <f>IF(A102&lt;&gt;"",""&amp;DATA_DECISION_LOG!C99,"")</f>
        <v/>
      </c>
      <c r="D102" s="273">
        <f>IF(A102&lt;&gt;"",""&amp;DATA_DECISION_LOG!D99,"")</f>
        <v/>
      </c>
      <c r="E102" s="273">
        <f>IF(A102&lt;&gt;"",""&amp;DATA_DECISION_LOG!E99,"")</f>
        <v/>
      </c>
      <c r="F102" s="273">
        <f>IF(A102&lt;&gt;"",""&amp;DATA_DECISION_LOG!F99,"")</f>
        <v/>
      </c>
      <c r="G102" s="273">
        <f>IF(A102&lt;&gt;"",""&amp;DATA_DECISION_LOG!G99,"")</f>
        <v/>
      </c>
      <c r="H102" s="273">
        <f>IF(A102&lt;&gt;"",""&amp;DATA_DECISION_LOG!H99,"")</f>
        <v/>
      </c>
    </row>
    <row r="103" ht="15.75" customHeight="1" s="132">
      <c r="A103" s="273">
        <f>IF(DATA_DECISION_LOG!A100&lt;&gt;"",""&amp;DATA_DECISION_LOG!A100,"")</f>
        <v/>
      </c>
      <c r="B103" s="273">
        <f>IF(A103&lt;&gt;"",""&amp;DATA_DECISION_LOG!B100,"")</f>
        <v/>
      </c>
      <c r="C103" s="273">
        <f>IF(A103&lt;&gt;"",""&amp;DATA_DECISION_LOG!C100,"")</f>
        <v/>
      </c>
      <c r="D103" s="273">
        <f>IF(A103&lt;&gt;"",""&amp;DATA_DECISION_LOG!D100,"")</f>
        <v/>
      </c>
      <c r="E103" s="273">
        <f>IF(A103&lt;&gt;"",""&amp;DATA_DECISION_LOG!E100,"")</f>
        <v/>
      </c>
      <c r="F103" s="273">
        <f>IF(A103&lt;&gt;"",""&amp;DATA_DECISION_LOG!F100,"")</f>
        <v/>
      </c>
      <c r="G103" s="273">
        <f>IF(A103&lt;&gt;"",""&amp;DATA_DECISION_LOG!G100,"")</f>
        <v/>
      </c>
      <c r="H103" s="273">
        <f>IF(A103&lt;&gt;"",""&amp;DATA_DECISION_LOG!H100,"")</f>
        <v/>
      </c>
    </row>
    <row r="104" ht="15.75" customHeight="1" s="132">
      <c r="A104" s="273">
        <f>IF(DATA_DECISION_LOG!A101&lt;&gt;"",""&amp;DATA_DECISION_LOG!A101,"")</f>
        <v/>
      </c>
      <c r="B104" s="273">
        <f>IF(A104&lt;&gt;"",""&amp;DATA_DECISION_LOG!B101,"")</f>
        <v/>
      </c>
      <c r="C104" s="273">
        <f>IF(A104&lt;&gt;"",""&amp;DATA_DECISION_LOG!C101,"")</f>
        <v/>
      </c>
      <c r="D104" s="273">
        <f>IF(A104&lt;&gt;"",""&amp;DATA_DECISION_LOG!D101,"")</f>
        <v/>
      </c>
      <c r="E104" s="273">
        <f>IF(A104&lt;&gt;"",""&amp;DATA_DECISION_LOG!E101,"")</f>
        <v/>
      </c>
      <c r="F104" s="273">
        <f>IF(A104&lt;&gt;"",""&amp;DATA_DECISION_LOG!F101,"")</f>
        <v/>
      </c>
      <c r="G104" s="273">
        <f>IF(A104&lt;&gt;"",""&amp;DATA_DECISION_LOG!G101,"")</f>
        <v/>
      </c>
      <c r="H104" s="273">
        <f>IF(A104&lt;&gt;"",""&amp;DATA_DECISION_LOG!H101,"")</f>
        <v/>
      </c>
    </row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autoFilter ref="$A$4:$I$8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ColWidth="14.43" defaultRowHeight="15" customHeight="1" outlineLevelRow="2"/>
  <cols>
    <col width="8.710000000000001" customWidth="1" style="132" min="1" max="26"/>
  </cols>
  <sheetData>
    <row r="1">
      <c r="A1" s="309" t="inlineStr">
        <is>
          <t>Source_ID</t>
        </is>
      </c>
      <c r="B1" s="309" t="inlineStr">
        <is>
          <t>Source_Type</t>
        </is>
      </c>
      <c r="C1" s="309" t="inlineStr">
        <is>
          <t>Speaker_Author</t>
        </is>
      </c>
      <c r="D1" s="309" t="inlineStr">
        <is>
          <t>Organization_Channel</t>
        </is>
      </c>
      <c r="E1" s="309" t="inlineStr">
        <is>
          <t>Source_Topic</t>
        </is>
      </c>
      <c r="F1" s="309" t="inlineStr">
        <is>
          <t>RIE_Domain</t>
        </is>
      </c>
      <c r="G1" s="309" t="inlineStr">
        <is>
          <t>Date_Published</t>
        </is>
      </c>
      <c r="H1" s="309" t="inlineStr">
        <is>
          <t>EO_Count</t>
        </is>
      </c>
      <c r="I1" s="309" t="inlineStr">
        <is>
          <t>Status</t>
        </is>
      </c>
    </row>
    <row r="21" ht="15.75" customHeight="1" s="132"/>
    <row r="22" ht="15.75" customHeight="1" s="132"/>
    <row r="23" ht="15.75" customHeight="1" s="132"/>
    <row r="24" ht="15.75" customHeight="1" s="132"/>
    <row r="25" ht="15.75" customHeight="1" s="132"/>
    <row r="26" ht="15.75" customHeight="1" s="132"/>
    <row r="27" ht="15.75" customHeight="1" s="132"/>
    <row r="28" ht="15.75" customHeight="1" s="132"/>
    <row r="29" ht="15.75" customHeight="1" s="132"/>
    <row r="30" ht="15.75" customHeight="1" s="132"/>
    <row r="31" ht="15.75" customHeight="1" s="132"/>
    <row r="32" ht="15.75" customHeight="1" s="132"/>
    <row r="33" ht="15.75" customHeight="1" s="132"/>
    <row r="34" ht="15.75" customHeight="1" s="132"/>
    <row r="35" ht="15.75" customHeight="1" s="132"/>
    <row r="36" ht="15.75" customHeight="1" s="132"/>
    <row r="37" ht="15.75" customHeight="1" s="132"/>
    <row r="38" ht="15.75" customHeight="1" s="132"/>
    <row r="39" ht="15.75" customHeight="1" s="132"/>
    <row r="40" ht="15.75" customHeight="1" s="132"/>
    <row r="41" ht="15.75" customHeight="1" s="132"/>
    <row r="42" ht="15.75" customHeight="1" s="132"/>
    <row r="43" ht="15.75" customHeight="1" s="132"/>
    <row r="44" ht="15.75" customHeight="1" s="132"/>
    <row r="45" ht="15.75" customHeight="1" s="132"/>
    <row r="46" ht="15.75" customHeight="1" s="132"/>
    <row r="47" ht="15.75" customHeight="1" s="132"/>
    <row r="48" ht="15.75" customHeight="1" s="132"/>
    <row r="49" ht="15.75" customHeight="1" s="132"/>
    <row r="50" ht="15.75" customHeight="1" s="132"/>
    <row r="51" ht="15.75" customHeight="1" s="132"/>
    <row r="52" ht="15.75" customHeight="1" s="132"/>
    <row r="53" ht="15.75" customHeight="1" s="132"/>
    <row r="54" ht="15.75" customHeight="1" s="132"/>
    <row r="55" ht="15.75" customHeight="1" s="132"/>
    <row r="56" ht="15.75" customHeight="1" s="132"/>
    <row r="57" ht="15.75" customHeight="1" s="132"/>
    <row r="58" ht="15.75" customHeight="1" s="132"/>
    <row r="59" ht="15.75" customHeight="1" s="132"/>
    <row r="60" ht="15.75" customHeight="1" s="132"/>
    <row r="61" ht="15.75" customHeight="1" s="132"/>
    <row r="62" ht="15.75" customHeight="1" s="132"/>
    <row r="63" ht="15.75" customHeight="1" s="132"/>
    <row r="64" ht="15.75" customHeight="1" s="132"/>
    <row r="65" ht="15.75" customHeight="1" s="132"/>
    <row r="66" ht="15.75" customHeight="1" s="132"/>
    <row r="67" ht="15.75" customHeight="1" s="132"/>
    <row r="68" ht="15.75" customHeight="1" s="132"/>
    <row r="69" ht="15.75" customHeight="1" s="132"/>
    <row r="70" ht="15.75" customHeight="1" s="132"/>
    <row r="71" ht="15.75" customHeight="1" s="132"/>
    <row r="72" ht="15.75" customHeight="1" s="132"/>
    <row r="73" ht="15.75" customHeight="1" s="132"/>
    <row r="74" ht="15.75" customHeight="1" s="132"/>
    <row r="75" ht="15.75" customHeight="1" s="132"/>
    <row r="76" ht="15.75" customHeight="1" s="132"/>
    <row r="77" ht="15.75" customHeight="1" s="132"/>
    <row r="78" ht="15.75" customHeight="1" s="132"/>
    <row r="79" ht="15.75" customHeight="1" s="132"/>
    <row r="80" ht="15.75" customHeight="1" s="132"/>
    <row r="81" ht="15.75" customHeight="1" s="132"/>
    <row r="82" ht="15.75" customHeight="1" s="132"/>
    <row r="83" ht="15.75" customHeight="1" s="132"/>
    <row r="84" ht="15.75" customHeight="1" s="132"/>
    <row r="85" ht="15.75" customHeight="1" s="132"/>
    <row r="86" ht="15.75" customHeight="1" s="132"/>
    <row r="87" ht="15.75" customHeight="1" s="132"/>
    <row r="88" ht="15.75" customHeight="1" s="132"/>
    <row r="89" ht="15.75" customHeight="1" s="132"/>
    <row r="90" ht="15.75" customHeight="1" s="132"/>
    <row r="91" ht="15.75" customHeight="1" s="132"/>
    <row r="92" ht="15.75" customHeight="1" s="132"/>
    <row r="93" ht="15.75" customHeight="1" s="132"/>
    <row r="94" ht="15.75" customHeight="1" s="132"/>
    <row r="95" ht="15.75" customHeight="1" s="132"/>
    <row r="96" ht="15.75" customHeight="1" s="132"/>
    <row r="97" ht="15.75" customHeight="1" s="132"/>
    <row r="98" ht="15.75" customHeight="1" s="132"/>
    <row r="99" ht="15.75" customHeight="1" s="132"/>
    <row r="100" ht="15.75" customHeight="1" s="132"/>
    <row r="101" ht="15.75" customHeight="1" s="132"/>
    <row r="102" ht="15.75" customHeight="1" s="132"/>
    <row r="103" ht="15.75" customHeight="1" s="132"/>
    <row r="104" ht="15.75" customHeight="1" s="132"/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2"/>
  <cols>
    <col width="60" customWidth="1" style="132" min="1" max="1"/>
    <col width="12" customWidth="1" style="132" min="2" max="2"/>
    <col width="16" customWidth="1" style="132" min="3" max="3"/>
    <col width="19" customWidth="1" style="132" min="4" max="4"/>
    <col width="23" customWidth="1" style="132" min="5" max="5"/>
    <col width="38" customWidth="1" style="132" min="6" max="6"/>
    <col width="28" customWidth="1" style="132" min="7" max="7"/>
    <col width="90" customWidth="1" style="132" min="8" max="8"/>
    <col width="17" customWidth="1" style="132" min="9" max="9"/>
    <col width="22" customWidth="1" style="132" min="10" max="10"/>
    <col width="44" customWidth="1" style="132" min="11" max="11"/>
    <col width="221" customWidth="1" style="132" min="12" max="12"/>
    <col width="104" customWidth="1" style="132" min="13" max="13"/>
    <col width="109" customWidth="1" style="132" min="14" max="14"/>
    <col width="303" customWidth="1" style="132" min="15" max="15"/>
    <col width="33" customWidth="1" style="132" min="16" max="16"/>
    <col width="8.710000000000001" customWidth="1" style="132" min="17" max="26"/>
  </cols>
  <sheetData>
    <row r="1">
      <c r="A1" s="212" t="inlineStr">
        <is>
          <t>EO_ID</t>
        </is>
      </c>
      <c r="B1" s="212" t="inlineStr">
        <is>
          <t>Source_ID</t>
        </is>
      </c>
      <c r="C1" s="212" t="inlineStr">
        <is>
          <t>Source_Type</t>
        </is>
      </c>
      <c r="D1" s="212" t="inlineStr">
        <is>
          <t>Speaker_Author</t>
        </is>
      </c>
      <c r="E1" s="212" t="inlineStr">
        <is>
          <t>Organization_Channel</t>
        </is>
      </c>
      <c r="F1" s="212" t="inlineStr">
        <is>
          <t>Source_Topic</t>
        </is>
      </c>
      <c r="G1" s="212" t="inlineStr">
        <is>
          <t>RIE_Domain</t>
        </is>
      </c>
      <c r="H1" s="212" t="inlineStr">
        <is>
          <t>RIE_Subtopic</t>
        </is>
      </c>
      <c r="I1" s="212" t="inlineStr">
        <is>
          <t>Date_Published</t>
        </is>
      </c>
      <c r="J1" s="212" t="inlineStr">
        <is>
          <t>Timestamp_Page</t>
        </is>
      </c>
      <c r="K1" s="212" t="inlineStr">
        <is>
          <t>Evidence_Type</t>
        </is>
      </c>
      <c r="L1" s="212" t="inlineStr">
        <is>
          <t>Direct_Observation</t>
        </is>
      </c>
      <c r="M1" s="212" t="inlineStr">
        <is>
          <t>Linked_IO</t>
        </is>
      </c>
      <c r="N1" s="212" t="inlineStr">
        <is>
          <t>Notes</t>
        </is>
      </c>
      <c r="O1" s="212" t="inlineStr">
        <is>
          <t>Search_Match</t>
        </is>
      </c>
      <c r="P1" s="212" t="inlineStr">
        <is>
          <t>Match_Rank</t>
        </is>
      </c>
    </row>
    <row r="21" ht="15.75" customHeight="1" s="132"/>
    <row r="22" ht="15.75" customHeight="1" s="132"/>
    <row r="23" ht="15.75" customHeight="1" s="132"/>
    <row r="24" ht="15.75" customHeight="1" s="132"/>
    <row r="25" ht="15.75" customHeight="1" s="132"/>
    <row r="26" ht="15.75" customHeight="1" s="132"/>
    <row r="27" ht="15.75" customHeight="1" s="132"/>
    <row r="28" ht="15.75" customHeight="1" s="132"/>
    <row r="29" ht="15.75" customHeight="1" s="132"/>
    <row r="30" ht="15.75" customHeight="1" s="132"/>
    <row r="31" ht="15.75" customHeight="1" s="132"/>
    <row r="32" ht="15.75" customHeight="1" s="132"/>
    <row r="33" ht="15.75" customHeight="1" s="132"/>
    <row r="34" ht="15.75" customHeight="1" s="132"/>
    <row r="35" ht="15.75" customHeight="1" s="132"/>
    <row r="36" ht="15.75" customHeight="1" s="132"/>
    <row r="37" ht="15.75" customHeight="1" s="132"/>
    <row r="38" ht="15.75" customHeight="1" s="132"/>
    <row r="39" ht="15.75" customHeight="1" s="132"/>
    <row r="40" ht="15.75" customHeight="1" s="132"/>
    <row r="41" ht="15.75" customHeight="1" s="132"/>
    <row r="42" ht="15.75" customHeight="1" s="132"/>
    <row r="43" ht="15.75" customHeight="1" s="132"/>
    <row r="44" ht="15.75" customHeight="1" s="132"/>
    <row r="45" ht="15.75" customHeight="1" s="132"/>
    <row r="46" ht="15.75" customHeight="1" s="132"/>
    <row r="47" ht="15.75" customHeight="1" s="132"/>
    <row r="48" ht="15.75" customHeight="1" s="132"/>
    <row r="49" ht="15.75" customHeight="1" s="132"/>
    <row r="50" ht="15.75" customHeight="1" s="132"/>
    <row r="51" ht="15.75" customHeight="1" s="132"/>
    <row r="52" ht="15.75" customHeight="1" s="132"/>
    <row r="53" ht="15.75" customHeight="1" s="132"/>
    <row r="54" ht="15.75" customHeight="1" s="132"/>
    <row r="55" ht="15.75" customHeight="1" s="132"/>
    <row r="56" ht="15.75" customHeight="1" s="132"/>
    <row r="57" ht="15.75" customHeight="1" s="132"/>
    <row r="58" ht="15.75" customHeight="1" s="132"/>
    <row r="59" ht="15.75" customHeight="1" s="132"/>
    <row r="60" ht="15.75" customHeight="1" s="132"/>
    <row r="61" ht="15.75" customHeight="1" s="132"/>
    <row r="62" ht="15.75" customHeight="1" s="132"/>
    <row r="63" ht="15.75" customHeight="1" s="132"/>
    <row r="64" ht="15.75" customHeight="1" s="132"/>
    <row r="65" ht="15.75" customHeight="1" s="132"/>
    <row r="66" ht="15.75" customHeight="1" s="132"/>
    <row r="67" ht="15.75" customHeight="1" s="132"/>
    <row r="68" ht="15.75" customHeight="1" s="132"/>
    <row r="69" ht="15.75" customHeight="1" s="132"/>
    <row r="70" ht="15.75" customHeight="1" s="132"/>
    <row r="71" ht="15.75" customHeight="1" s="132"/>
    <row r="72" ht="15.75" customHeight="1" s="132"/>
    <row r="73" ht="15.75" customHeight="1" s="132"/>
    <row r="74" ht="15.75" customHeight="1" s="132"/>
    <row r="75" ht="15.75" customHeight="1" s="132"/>
    <row r="76" ht="15.75" customHeight="1" s="132"/>
    <row r="77" ht="15.75" customHeight="1" s="132"/>
    <row r="78" ht="15.75" customHeight="1" s="132"/>
    <row r="79" ht="15.75" customHeight="1" s="132"/>
    <row r="80" ht="15.75" customHeight="1" s="132"/>
    <row r="81" ht="15.75" customHeight="1" s="132"/>
    <row r="82" ht="15.75" customHeight="1" s="132"/>
    <row r="83" ht="15.75" customHeight="1" s="132"/>
    <row r="84" ht="15.75" customHeight="1" s="132"/>
    <row r="85" ht="15.75" customHeight="1" s="132"/>
    <row r="86" ht="15.75" customHeight="1" s="132"/>
    <row r="87" ht="15.75" customHeight="1" s="132"/>
    <row r="88" ht="15.75" customHeight="1" s="132"/>
    <row r="89" ht="15.75" customHeight="1" s="132"/>
    <row r="90" ht="15.75" customHeight="1" s="132"/>
    <row r="91" ht="15.75" customHeight="1" s="132"/>
    <row r="92" ht="15.75" customHeight="1" s="132"/>
    <row r="93" ht="15.75" customHeight="1" s="132"/>
    <row r="94" ht="15.75" customHeight="1" s="132"/>
    <row r="95" ht="15.75" customHeight="1" s="132"/>
    <row r="96" ht="15.75" customHeight="1" s="132"/>
    <row r="97" ht="15.75" customHeight="1" s="132"/>
    <row r="98" ht="15.75" customHeight="1" s="132"/>
    <row r="99" ht="15.75" customHeight="1" s="132"/>
    <row r="100" ht="15.75" customHeight="1" s="132"/>
    <row r="101" ht="15.75" customHeight="1" s="132"/>
    <row r="102" ht="15.75" customHeight="1" s="132"/>
    <row r="103" ht="15.75" customHeight="1" s="132"/>
    <row r="104" ht="15.75" customHeight="1" s="132"/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autoFilter ref="$A$1:$P$56"/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2"/>
  <cols>
    <col width="59" customWidth="1" style="132" min="1" max="1"/>
    <col width="136" customWidth="1" style="132" min="2" max="2"/>
    <col width="348" customWidth="1" style="132" min="3" max="3"/>
    <col width="279" customWidth="1" style="132" min="4" max="4"/>
    <col width="196" customWidth="1" style="132" min="5" max="5"/>
    <col width="104" customWidth="1" style="132" min="6" max="6"/>
    <col width="13" customWidth="1" style="132" min="7" max="7"/>
    <col width="142" customWidth="1" style="132" min="8" max="8"/>
    <col width="119" customWidth="1" style="132" min="9" max="9"/>
    <col width="287" customWidth="1" style="132" min="10" max="10"/>
    <col width="33" customWidth="1" style="132" min="11" max="11"/>
    <col width="8.710000000000001" customWidth="1" style="132" min="12" max="26"/>
  </cols>
  <sheetData>
    <row r="1">
      <c r="A1" s="212" t="inlineStr">
        <is>
          <t>IO_ID</t>
        </is>
      </c>
      <c r="B1" s="212" t="inlineStr">
        <is>
          <t>Research_Question</t>
        </is>
      </c>
      <c r="C1" s="212" t="inlineStr">
        <is>
          <t>Primary_Interpretation</t>
        </is>
      </c>
      <c r="D1" s="212" t="inlineStr">
        <is>
          <t>Alternative_Interpretation</t>
        </is>
      </c>
      <c r="E1" s="212" t="inlineStr">
        <is>
          <t>Supporting_EO</t>
        </is>
      </c>
      <c r="F1" s="212" t="inlineStr">
        <is>
          <t>Contradicting_EO</t>
        </is>
      </c>
      <c r="G1" s="212" t="inlineStr">
        <is>
          <t>Confidence</t>
        </is>
      </c>
      <c r="H1" s="212" t="inlineStr">
        <is>
          <t>Human_Review_Notes</t>
        </is>
      </c>
      <c r="I1" s="212" t="inlineStr">
        <is>
          <t>Future_Research_Needed</t>
        </is>
      </c>
      <c r="J1" s="212" t="inlineStr">
        <is>
          <t>Search_Match</t>
        </is>
      </c>
      <c r="K1" s="212" t="inlineStr">
        <is>
          <t>Match_Rank</t>
        </is>
      </c>
    </row>
    <row r="21" ht="15.75" customHeight="1" s="132"/>
    <row r="22" ht="15.75" customHeight="1" s="132"/>
    <row r="23" ht="15.75" customHeight="1" s="132"/>
    <row r="24" ht="15.75" customHeight="1" s="132"/>
    <row r="25" ht="15.75" customHeight="1" s="132"/>
    <row r="26" ht="15.75" customHeight="1" s="132"/>
    <row r="27" ht="15.75" customHeight="1" s="132"/>
    <row r="28" ht="15.75" customHeight="1" s="132"/>
    <row r="29" ht="15.75" customHeight="1" s="132"/>
    <row r="30" ht="15.75" customHeight="1" s="132"/>
    <row r="31" ht="15.75" customHeight="1" s="132"/>
    <row r="32" ht="15.75" customHeight="1" s="132"/>
    <row r="33" ht="15.75" customHeight="1" s="132"/>
    <row r="34" ht="15.75" customHeight="1" s="132"/>
    <row r="35" ht="15.75" customHeight="1" s="132"/>
    <row r="36" ht="15.75" customHeight="1" s="132"/>
    <row r="37" ht="15.75" customHeight="1" s="132"/>
    <row r="38" ht="15.75" customHeight="1" s="132"/>
    <row r="39" ht="15.75" customHeight="1" s="132"/>
    <row r="40" ht="15.75" customHeight="1" s="132"/>
    <row r="41" ht="15.75" customHeight="1" s="132"/>
    <row r="42" ht="15.75" customHeight="1" s="132"/>
    <row r="43" ht="15.75" customHeight="1" s="132"/>
    <row r="44" ht="15.75" customHeight="1" s="132"/>
    <row r="45" ht="15.75" customHeight="1" s="132"/>
    <row r="46" ht="15.75" customHeight="1" s="132"/>
    <row r="47" ht="15.75" customHeight="1" s="132"/>
    <row r="48" ht="15.75" customHeight="1" s="132"/>
    <row r="49" ht="15.75" customHeight="1" s="132"/>
    <row r="50" ht="15.75" customHeight="1" s="132"/>
    <row r="51" ht="15.75" customHeight="1" s="132"/>
    <row r="52" ht="15.75" customHeight="1" s="132"/>
    <row r="53" ht="15.75" customHeight="1" s="132"/>
    <row r="54" ht="15.75" customHeight="1" s="132"/>
    <row r="55" ht="15.75" customHeight="1" s="132"/>
    <row r="56" ht="15.75" customHeight="1" s="132"/>
    <row r="57" ht="15.75" customHeight="1" s="132"/>
    <row r="58" ht="15.75" customHeight="1" s="132"/>
    <row r="59" ht="15.75" customHeight="1" s="132"/>
    <row r="60" ht="15.75" customHeight="1" s="132"/>
    <row r="61" ht="15.75" customHeight="1" s="132"/>
    <row r="62" ht="15.75" customHeight="1" s="132"/>
    <row r="63" ht="15.75" customHeight="1" s="132"/>
    <row r="64" ht="15.75" customHeight="1" s="132"/>
    <row r="65" ht="15.75" customHeight="1" s="132"/>
    <row r="66" ht="15.75" customHeight="1" s="132"/>
    <row r="67" ht="15.75" customHeight="1" s="132"/>
    <row r="68" ht="15.75" customHeight="1" s="132"/>
    <row r="69" ht="15.75" customHeight="1" s="132"/>
    <row r="70" ht="15.75" customHeight="1" s="132"/>
    <row r="71" ht="15.75" customHeight="1" s="132"/>
    <row r="72" ht="15.75" customHeight="1" s="132"/>
    <row r="73" ht="15.75" customHeight="1" s="132"/>
    <row r="74" ht="15.75" customHeight="1" s="132"/>
    <row r="75" ht="15.75" customHeight="1" s="132"/>
    <row r="76" ht="15.75" customHeight="1" s="132"/>
    <row r="77" ht="15.75" customHeight="1" s="132"/>
    <row r="78" ht="15.75" customHeight="1" s="132"/>
    <row r="79" ht="15.75" customHeight="1" s="132"/>
    <row r="80" ht="15.75" customHeight="1" s="132"/>
    <row r="81" ht="15.75" customHeight="1" s="132"/>
    <row r="82" ht="15.75" customHeight="1" s="132"/>
    <row r="83" ht="15.75" customHeight="1" s="132"/>
    <row r="84" ht="15.75" customHeight="1" s="132"/>
    <row r="85" ht="15.75" customHeight="1" s="132"/>
    <row r="86" ht="15.75" customHeight="1" s="132"/>
    <row r="87" ht="15.75" customHeight="1" s="132"/>
    <row r="88" ht="15.75" customHeight="1" s="132"/>
    <row r="89" ht="15.75" customHeight="1" s="132"/>
    <row r="90" ht="15.75" customHeight="1" s="132"/>
    <row r="91" ht="15.75" customHeight="1" s="132"/>
    <row r="92" ht="15.75" customHeight="1" s="132"/>
    <row r="93" ht="15.75" customHeight="1" s="132"/>
    <row r="94" ht="15.75" customHeight="1" s="132"/>
    <row r="95" ht="15.75" customHeight="1" s="132"/>
    <row r="96" ht="15.75" customHeight="1" s="132"/>
    <row r="97" ht="15.75" customHeight="1" s="132"/>
    <row r="98" ht="15.75" customHeight="1" s="132"/>
    <row r="99" ht="15.75" customHeight="1" s="132"/>
    <row r="100" ht="15.75" customHeight="1" s="132"/>
    <row r="101" ht="15.75" customHeight="1" s="132"/>
    <row r="102" ht="15.75" customHeight="1" s="132"/>
    <row r="103" ht="15.75" customHeight="1" s="132"/>
    <row r="104" ht="15.75" customHeight="1" s="132"/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autoFilter ref="$A$1:$K$24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2"/>
  <cols>
    <col width="46" customWidth="1" style="132" min="1" max="1"/>
    <col width="81" customWidth="1" style="132" min="2" max="2"/>
    <col width="52" customWidth="1" style="132" min="3" max="3"/>
    <col width="16" customWidth="1" style="132" min="4" max="4"/>
    <col width="171" customWidth="1" style="132" min="5" max="5"/>
    <col width="102" customWidth="1" style="132" min="6" max="6"/>
    <col width="13" customWidth="1" style="132" min="7" max="7"/>
    <col width="12" customWidth="1" style="132" min="8" max="8"/>
    <col width="31" customWidth="1" style="132" min="9" max="9"/>
    <col width="295" customWidth="1" style="132" min="10" max="10"/>
    <col width="33" customWidth="1" style="132" min="11" max="11"/>
    <col width="8.710000000000001" customWidth="1" style="132" min="12" max="26"/>
  </cols>
  <sheetData>
    <row r="1">
      <c r="A1" s="212" t="inlineStr">
        <is>
          <t>KO_ID</t>
        </is>
      </c>
      <c r="B1" s="212" t="inlineStr">
        <is>
          <t>Concept_Title</t>
        </is>
      </c>
      <c r="C1" s="212" t="inlineStr">
        <is>
          <t>Domain</t>
        </is>
      </c>
      <c r="D1" s="212" t="inlineStr">
        <is>
          <t>Origin_Source</t>
        </is>
      </c>
      <c r="E1" s="212" t="inlineStr">
        <is>
          <t>Supporting_EO</t>
        </is>
      </c>
      <c r="F1" s="212" t="inlineStr">
        <is>
          <t>Supporting_IO</t>
        </is>
      </c>
      <c r="G1" s="212" t="inlineStr">
        <is>
          <t>Confidence</t>
        </is>
      </c>
      <c r="H1" s="212" t="inlineStr">
        <is>
          <t>Status</t>
        </is>
      </c>
      <c r="I1" s="212" t="inlineStr">
        <is>
          <t>Human_Approval_State</t>
        </is>
      </c>
      <c r="J1" s="212" t="inlineStr">
        <is>
          <t>Search_Match</t>
        </is>
      </c>
      <c r="K1" s="212" t="inlineStr">
        <is>
          <t>Match_Rank</t>
        </is>
      </c>
      <c r="L1" s="232" t="inlineStr">
        <is>
          <t>Match_KO_Title</t>
        </is>
      </c>
      <c r="M1" s="232" t="inlineStr">
        <is>
          <t>Match_IO_Question</t>
        </is>
      </c>
      <c r="N1" s="232" t="inlineStr">
        <is>
          <t>Match_EO_Observation</t>
        </is>
      </c>
      <c r="O1" s="232" t="inlineStr">
        <is>
          <t>Match_Because</t>
        </is>
      </c>
      <c r="P1" s="232" t="inlineStr">
        <is>
          <t>Match_Detail_Snippet</t>
        </is>
      </c>
      <c r="Q1" s="232" t="inlineStr">
        <is>
          <t>EO_Count</t>
        </is>
      </c>
      <c r="R1" s="232" t="inlineStr">
        <is>
          <t>IO_Count</t>
        </is>
      </c>
      <c r="S1" s="232" t="inlineStr">
        <is>
          <t>Counter_IO_Explanation</t>
        </is>
      </c>
      <c r="T1" s="232" t="inlineStr">
        <is>
          <t>Substrate_Profile_Summary</t>
        </is>
      </c>
      <c r="U1" s="232" t="inlineStr">
        <is>
          <t>Priority_Tier</t>
        </is>
      </c>
      <c r="V1" s="232" t="inlineStr">
        <is>
          <t>Composite_Sort_Score</t>
        </is>
      </c>
    </row>
    <row r="21" ht="15.75" customHeight="1" s="132"/>
    <row r="22" ht="15.75" customHeight="1" s="132"/>
    <row r="23" ht="15.75" customHeight="1" s="132"/>
    <row r="24" ht="15.75" customHeight="1" s="132"/>
    <row r="25" ht="15.75" customHeight="1" s="132"/>
    <row r="26" ht="15.75" customHeight="1" s="132"/>
    <row r="27" ht="15.75" customHeight="1" s="132"/>
    <row r="28" ht="15.75" customHeight="1" s="132"/>
    <row r="29" ht="15.75" customHeight="1" s="132"/>
    <row r="30" ht="15.75" customHeight="1" s="132"/>
    <row r="31" ht="15.75" customHeight="1" s="132"/>
    <row r="32" ht="15.75" customHeight="1" s="132"/>
    <row r="33" ht="15.75" customHeight="1" s="132"/>
    <row r="34" ht="15.75" customHeight="1" s="132"/>
    <row r="35" ht="15.75" customHeight="1" s="132"/>
    <row r="36" ht="15.75" customHeight="1" s="132"/>
    <row r="37" ht="15.75" customHeight="1" s="132"/>
    <row r="38" ht="15.75" customHeight="1" s="132"/>
    <row r="39" ht="15.75" customHeight="1" s="132"/>
    <row r="40" ht="15.75" customHeight="1" s="132"/>
    <row r="41" ht="15.75" customHeight="1" s="132"/>
    <row r="42" ht="15.75" customHeight="1" s="132"/>
    <row r="43" ht="15.75" customHeight="1" s="132"/>
    <row r="44" ht="15.75" customHeight="1" s="132"/>
    <row r="45" ht="15.75" customHeight="1" s="132"/>
    <row r="46" ht="15.75" customHeight="1" s="132"/>
    <row r="47" ht="15.75" customHeight="1" s="132"/>
    <row r="48" ht="15.75" customHeight="1" s="132"/>
    <row r="49" ht="15.75" customHeight="1" s="132"/>
    <row r="50" ht="15.75" customHeight="1" s="132"/>
    <row r="51" ht="15.75" customHeight="1" s="132"/>
    <row r="52" ht="15.75" customHeight="1" s="132"/>
    <row r="53" ht="15.75" customHeight="1" s="132"/>
    <row r="54" ht="15.75" customHeight="1" s="132"/>
    <row r="55" ht="15.75" customHeight="1" s="132"/>
    <row r="56" ht="15.75" customHeight="1" s="132"/>
    <row r="57" ht="15.75" customHeight="1" s="132"/>
    <row r="58" ht="15.75" customHeight="1" s="132"/>
    <row r="59" ht="15.75" customHeight="1" s="132"/>
    <row r="60" ht="15.75" customHeight="1" s="132"/>
    <row r="61" ht="15.75" customHeight="1" s="132"/>
    <row r="62" ht="15.75" customHeight="1" s="132"/>
    <row r="63" ht="15.75" customHeight="1" s="132"/>
    <row r="64" ht="15.75" customHeight="1" s="132"/>
    <row r="65" ht="15.75" customHeight="1" s="132"/>
    <row r="66" ht="15.75" customHeight="1" s="132"/>
    <row r="67" ht="15.75" customHeight="1" s="132"/>
    <row r="68" ht="15.75" customHeight="1" s="132"/>
    <row r="69" ht="15.75" customHeight="1" s="132"/>
    <row r="70" ht="15.75" customHeight="1" s="132"/>
    <row r="71" ht="15.75" customHeight="1" s="132"/>
    <row r="72" ht="15.75" customHeight="1" s="132"/>
    <row r="73" ht="15.75" customHeight="1" s="132"/>
    <row r="74" ht="15.75" customHeight="1" s="132"/>
    <row r="75" ht="15.75" customHeight="1" s="132"/>
    <row r="76" ht="15.75" customHeight="1" s="132"/>
    <row r="77" ht="15.75" customHeight="1" s="132"/>
    <row r="78" ht="15.75" customHeight="1" s="132"/>
    <row r="79" ht="15.75" customHeight="1" s="132"/>
    <row r="80" ht="15.75" customHeight="1" s="132"/>
    <row r="81" ht="15.75" customHeight="1" s="132"/>
    <row r="82" ht="15.75" customHeight="1" s="132"/>
    <row r="83" ht="15.75" customHeight="1" s="132"/>
    <row r="84" ht="15.75" customHeight="1" s="132"/>
    <row r="85" ht="15.75" customHeight="1" s="132"/>
    <row r="86" ht="15.75" customHeight="1" s="132"/>
    <row r="87" ht="15.75" customHeight="1" s="132"/>
    <row r="88" ht="15.75" customHeight="1" s="132"/>
    <row r="89" ht="15.75" customHeight="1" s="132"/>
    <row r="90" ht="15.75" customHeight="1" s="132"/>
    <row r="91" ht="15.75" customHeight="1" s="132"/>
    <row r="92" ht="15.75" customHeight="1" s="132"/>
    <row r="93" ht="15.75" customHeight="1" s="132"/>
    <row r="94" ht="15.75" customHeight="1" s="132"/>
    <row r="95" ht="15.75" customHeight="1" s="132"/>
    <row r="96" ht="15.75" customHeight="1" s="132"/>
    <row r="97" ht="15.75" customHeight="1" s="132"/>
    <row r="98" ht="15.75" customHeight="1" s="132"/>
    <row r="99" ht="15.75" customHeight="1" s="132"/>
    <row r="100" ht="15.75" customHeight="1" s="132"/>
    <row r="101" ht="15.75" customHeight="1" s="132"/>
    <row r="102" ht="15.75" customHeight="1" s="132"/>
    <row r="103" ht="15.75" customHeight="1" s="132"/>
    <row r="104" ht="15.75" customHeight="1" s="132"/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autoFilter ref="$A$1:$K$19"/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2"/>
  <cols>
    <col width="85" customWidth="1" style="132" min="1" max="1"/>
    <col width="18" customWidth="1" style="132" min="2" max="2"/>
    <col width="45" customWidth="1" style="132" min="3" max="3"/>
    <col width="46" customWidth="1" style="132" min="4" max="4"/>
    <col width="42" customWidth="1" style="132" min="5" max="5"/>
    <col width="20" customWidth="1" style="132" min="6" max="6"/>
    <col width="13" customWidth="1" style="132" min="7" max="7"/>
    <col width="17" customWidth="1" style="132" min="8" max="8"/>
    <col width="35" customWidth="1" style="132" min="9" max="9"/>
    <col width="115" customWidth="1" style="132" min="10" max="10"/>
    <col width="8.710000000000001" customWidth="1" style="132" min="11" max="26"/>
  </cols>
  <sheetData>
    <row r="1">
      <c r="A1" s="212" t="inlineStr">
        <is>
          <t>Lookup_Key</t>
        </is>
      </c>
      <c r="B1" s="212" t="inlineStr">
        <is>
          <t>Relationship_ID</t>
        </is>
      </c>
      <c r="C1" s="212" t="inlineStr">
        <is>
          <t>From_KO</t>
        </is>
      </c>
      <c r="D1" s="212" t="inlineStr">
        <is>
          <t>To_KO</t>
        </is>
      </c>
      <c r="E1" s="212" t="inlineStr">
        <is>
          <t>Relationship_Description</t>
        </is>
      </c>
      <c r="F1" s="212" t="inlineStr">
        <is>
          <t>Relationship_Type</t>
        </is>
      </c>
      <c r="G1" s="212" t="inlineStr">
        <is>
          <t>Confidence</t>
        </is>
      </c>
      <c r="H1" s="212" t="inlineStr">
        <is>
          <t>Human_Approval</t>
        </is>
      </c>
      <c r="I1" s="212" t="inlineStr">
        <is>
          <t>Cluster_ID</t>
        </is>
      </c>
      <c r="J1" s="212" t="inlineStr">
        <is>
          <t>Notes</t>
        </is>
      </c>
    </row>
    <row r="21" ht="15.75" customHeight="1" s="132"/>
    <row r="22" ht="15.75" customHeight="1" s="132"/>
    <row r="23" ht="15.75" customHeight="1" s="132"/>
    <row r="24" ht="15.75" customHeight="1" s="132"/>
    <row r="25" ht="15.75" customHeight="1" s="132"/>
    <row r="26" ht="15.75" customHeight="1" s="132"/>
    <row r="27" ht="15.75" customHeight="1" s="132"/>
    <row r="28" ht="15.75" customHeight="1" s="132"/>
    <row r="29" ht="15.75" customHeight="1" s="132"/>
    <row r="30" ht="15.75" customHeight="1" s="132"/>
    <row r="31" ht="15.75" customHeight="1" s="132"/>
    <row r="32" ht="15.75" customHeight="1" s="132"/>
    <row r="33" ht="15.75" customHeight="1" s="132"/>
    <row r="34" ht="15.75" customHeight="1" s="132"/>
    <row r="35" ht="15.75" customHeight="1" s="132"/>
    <row r="36" ht="15.75" customHeight="1" s="132"/>
    <row r="37" ht="15.75" customHeight="1" s="132"/>
    <row r="38" ht="15.75" customHeight="1" s="132"/>
    <row r="39" ht="15.75" customHeight="1" s="132"/>
    <row r="40" ht="15.75" customHeight="1" s="132"/>
    <row r="41" ht="15.75" customHeight="1" s="132"/>
    <row r="42" ht="15.75" customHeight="1" s="132"/>
    <row r="43" ht="15.75" customHeight="1" s="132"/>
    <row r="44" ht="15.75" customHeight="1" s="132"/>
    <row r="45" ht="15.75" customHeight="1" s="132"/>
    <row r="46" ht="15.75" customHeight="1" s="132"/>
    <row r="47" ht="15.75" customHeight="1" s="132"/>
    <row r="48" ht="15.75" customHeight="1" s="132"/>
    <row r="49" ht="15.75" customHeight="1" s="132"/>
    <row r="50" ht="15.75" customHeight="1" s="132"/>
    <row r="51" ht="15.75" customHeight="1" s="132"/>
    <row r="52" ht="15.75" customHeight="1" s="132"/>
    <row r="53" ht="15.75" customHeight="1" s="132"/>
    <row r="54" ht="15.75" customHeight="1" s="132"/>
    <row r="55" ht="15.75" customHeight="1" s="132"/>
    <row r="56" ht="15.75" customHeight="1" s="132"/>
    <row r="57" ht="15.75" customHeight="1" s="132"/>
    <row r="58" ht="15.75" customHeight="1" s="132"/>
    <row r="59" ht="15.75" customHeight="1" s="132"/>
    <row r="60" ht="15.75" customHeight="1" s="132"/>
    <row r="61" ht="15.75" customHeight="1" s="132"/>
    <row r="62" ht="15.75" customHeight="1" s="132"/>
    <row r="63" ht="15.75" customHeight="1" s="132"/>
    <row r="64" ht="15.75" customHeight="1" s="132"/>
    <row r="65" ht="15.75" customHeight="1" s="132"/>
    <row r="66" ht="15.75" customHeight="1" s="132"/>
    <row r="67" ht="15.75" customHeight="1" s="132"/>
    <row r="68" ht="15.75" customHeight="1" s="132"/>
    <row r="69" ht="15.75" customHeight="1" s="132"/>
    <row r="70" ht="15.75" customHeight="1" s="132"/>
    <row r="71" ht="15.75" customHeight="1" s="132"/>
    <row r="72" ht="15.75" customHeight="1" s="132"/>
    <row r="73" ht="15.75" customHeight="1" s="132"/>
    <row r="74" ht="15.75" customHeight="1" s="132"/>
    <row r="75" ht="15.75" customHeight="1" s="132"/>
    <row r="76" ht="15.75" customHeight="1" s="132"/>
    <row r="77" ht="15.75" customHeight="1" s="132"/>
    <row r="78" ht="15.75" customHeight="1" s="132"/>
    <row r="79" ht="15.75" customHeight="1" s="132"/>
    <row r="80" ht="15.75" customHeight="1" s="132"/>
    <row r="81" ht="15.75" customHeight="1" s="132"/>
    <row r="82" ht="15.75" customHeight="1" s="132"/>
    <row r="83" ht="15.75" customHeight="1" s="132"/>
    <row r="84" ht="15.75" customHeight="1" s="132"/>
    <row r="85" ht="15.75" customHeight="1" s="132"/>
    <row r="86" ht="15.75" customHeight="1" s="132"/>
    <row r="87" ht="15.75" customHeight="1" s="132"/>
    <row r="88" ht="15.75" customHeight="1" s="132"/>
    <row r="89" ht="15.75" customHeight="1" s="132"/>
    <row r="90" ht="15.75" customHeight="1" s="132"/>
    <row r="91" ht="15.75" customHeight="1" s="132"/>
    <row r="92" ht="15.75" customHeight="1" s="132"/>
    <row r="93" ht="15.75" customHeight="1" s="132"/>
    <row r="94" ht="15.75" customHeight="1" s="132"/>
    <row r="95" ht="15.75" customHeight="1" s="132"/>
    <row r="96" ht="15.75" customHeight="1" s="132"/>
    <row r="97" ht="15.75" customHeight="1" s="132"/>
    <row r="98" ht="15.75" customHeight="1" s="132"/>
    <row r="99" ht="15.75" customHeight="1" s="132"/>
    <row r="100" ht="15.75" customHeight="1" s="132"/>
    <row r="101" ht="15.75" customHeight="1" s="132"/>
    <row r="102" ht="15.75" customHeight="1" s="132"/>
    <row r="103" ht="15.75" customHeight="1" s="132"/>
    <row r="104" ht="15.75" customHeight="1" s="132"/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autoFilter ref="$A$1:$J$18"/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2"/>
  <cols>
    <col width="35" customWidth="1" style="132" min="1" max="1"/>
    <col width="48" customWidth="1" style="132" min="2" max="2"/>
    <col width="45" customWidth="1" style="132" min="3" max="3"/>
    <col width="41" customWidth="1" style="132" min="4" max="4"/>
    <col width="13" customWidth="1" style="132" min="5" max="5"/>
    <col width="118" customWidth="1" style="132" min="6" max="6"/>
    <col width="42" customWidth="1" style="132" min="7" max="7"/>
    <col width="44" customWidth="1" style="132" min="8" max="8"/>
    <col width="43" customWidth="1" style="132" min="9" max="9"/>
    <col width="46" customWidth="1" style="132" min="10" max="10"/>
    <col width="44" customWidth="1" style="132" min="11" max="11"/>
    <col width="356" customWidth="1" style="132" min="12" max="12"/>
    <col width="723" customWidth="1" style="132" min="13" max="13"/>
    <col width="45" customWidth="1" style="132" min="14" max="14"/>
    <col width="17" customWidth="1" style="132" min="15" max="15"/>
    <col width="8.710000000000001" customWidth="1" style="132" min="16" max="26"/>
  </cols>
  <sheetData>
    <row r="1">
      <c r="A1" s="212" t="inlineStr">
        <is>
          <t>Cluster_ID</t>
        </is>
      </c>
      <c r="B1" s="212" t="inlineStr">
        <is>
          <t>Cluster_Theme</t>
        </is>
      </c>
      <c r="C1" s="212" t="inlineStr">
        <is>
          <t>Primary_KO</t>
        </is>
      </c>
      <c r="D1" s="212" t="inlineStr">
        <is>
          <t>Domain</t>
        </is>
      </c>
      <c r="E1" s="212" t="inlineStr">
        <is>
          <t>Confidence</t>
        </is>
      </c>
      <c r="F1" s="212" t="inlineStr">
        <is>
          <t>Search_Keywords</t>
        </is>
      </c>
      <c r="G1" s="212" t="inlineStr">
        <is>
          <t>Related_KO_1</t>
        </is>
      </c>
      <c r="H1" s="212" t="inlineStr">
        <is>
          <t>Related_KO_2</t>
        </is>
      </c>
      <c r="I1" s="212" t="inlineStr">
        <is>
          <t>Related_KO_3</t>
        </is>
      </c>
      <c r="J1" s="212" t="inlineStr">
        <is>
          <t>Related_KO_4</t>
        </is>
      </c>
      <c r="K1" s="212" t="inlineStr">
        <is>
          <t>Related_KO_5</t>
        </is>
      </c>
      <c r="L1" s="212" t="inlineStr">
        <is>
          <t>Related_IOs</t>
        </is>
      </c>
      <c r="M1" s="212" t="inlineStr">
        <is>
          <t>Related_EOs</t>
        </is>
      </c>
      <c r="N1" s="212" t="inlineStr">
        <is>
          <t>Source_Origins</t>
        </is>
      </c>
      <c r="O1" s="212" t="inlineStr">
        <is>
          <t>Human_Approval</t>
        </is>
      </c>
    </row>
    <row r="2">
      <c r="A2" s="300" t="inlineStr">
        <is>
          <t>CLUSTER_GOLD_MONETARY_SYSTEM</t>
        </is>
      </c>
      <c r="B2" s="300" t="inlineStr">
        <is>
          <t>Gold Monetary System Transition</t>
        </is>
      </c>
      <c r="C2" s="310" t="inlineStr">
        <is>
          <t>KO-FIN-DE-DOLLARIZATION-SANCTIONS-001</t>
        </is>
      </c>
      <c r="D2" s="300" t="inlineStr">
        <is>
          <t>Monetary Economics</t>
        </is>
      </c>
      <c r="E2" s="310" t="n">
        <v>0.85</v>
      </c>
      <c r="F2" s="310" t="inlineStr">
        <is>
          <t>gold, monetary, dollar, sanctions, central bank, de-dollarization, reserve, metals, bullion, rate hike, yield curve</t>
        </is>
      </c>
      <c r="G2" s="300" t="inlineStr">
        <is>
          <t>KO-FIN-RATE-HIKE-DISCOUNTING-BOTTOM-001</t>
        </is>
      </c>
      <c r="H2" s="300" t="inlineStr">
        <is>
          <t>KO-FIN-BEAR-STEEPENING-001</t>
        </is>
      </c>
      <c r="I2" s="300" t="inlineStr">
        <is>
          <t>KO-FIN-UNDERALLOCATION-BEAR-ROTATION-001</t>
        </is>
      </c>
      <c r="J2" s="300" t="inlineStr">
        <is>
          <t>KO-FIN-EQUITY-RATIO-VALUATION-001</t>
        </is>
      </c>
      <c r="K2" s="310" t="inlineStr">
        <is>
          <t>KO-MACRO-PERCEPTION-REALITY-ARBITRAGE-001</t>
        </is>
      </c>
      <c r="L2" s="310" t="inlineStr">
        <is>
          <t>IO-FelixPrehn-DollarSanctionsDeDollarization-002, IO-FelixPrehn-CentralBankGoldReserveFloor-004, IO-JordanRoyByrne-PreemptiveRateHikeDiscounting-001, IO-JordanRoyByrne-BearSteepeningTransmission-001, IO-JordanRoyByrne-UnderallocationBearMarketRotation-002, IO-JordanRoyByrne-SecularRatioCapitalRotation-004, IO-BobThompson-PerceptionRealityArbitrage-002</t>
        </is>
      </c>
      <c r="M2" s="310" t="inlineStr">
        <is>
          <t>EO-FelixPrehn-USSanctionsEconomicOutcast-005, EO-FelixPrehn-CentralBankPhysicalGoldAccumulation-007, EO-JordanRoyByrne-YieldCurveDynamics2YSurge-001, EO-JordanRoyByrne-HistoricalRateHikeBottoms-002, EO-JordanRoyByrne-PreemptiveYieldDiscounting2026-004, EO-JordanRoyByrne-BearSteepeningSpread-001, EO-JordanRoyByrne-RealRateDecoupling-002, EO-JordanRoyByrne-Historical1970sAnalog-004, EO-JordanRoyByrne-HistoricalEquityBearRotation-008, EO-JordanRoyByrne-GoldETFAllocationBaseline-009, EO-JordanRoyByrne-GoldSP500SecularRatio-008, EO-JordanRoyByrne-GoldNasdaqRoundingBase-009, EO-BobThompson-PerceptionRealityZone-003, EO-BobThompson-PoliticalPressure1970sRateCut-004, EO-BobThompson-PowellInflationPerceptionDynamics-005</t>
        </is>
      </c>
      <c r="N2" s="310" t="inlineStr">
        <is>
          <t>VIDEO-001, VIDEO-002, VIDEO-003, VIDEO-005</t>
        </is>
      </c>
      <c r="O2" s="310" t="inlineStr">
        <is>
          <t>Approved</t>
        </is>
      </c>
    </row>
    <row r="3">
      <c r="A3" s="300" t="inlineStr">
        <is>
          <t>CLUSTER_AI_CREDIT_CONTAGION</t>
        </is>
      </c>
      <c r="B3" s="300" t="inlineStr">
        <is>
          <t>AI Infrastructure &amp; Syndicated Debt Contagion</t>
        </is>
      </c>
      <c r="C3" s="310" t="inlineStr">
        <is>
          <t>KO-FIN-STRUCTURED-SPV-CREDIT-ARBITRAGE-001</t>
        </is>
      </c>
      <c r="D3" s="300" t="inlineStr">
        <is>
          <t>Financial Markets / Structured Finance</t>
        </is>
      </c>
      <c r="E3" s="310" t="n">
        <v>0.82</v>
      </c>
      <c r="F3" s="310" t="inlineStr">
        <is>
          <t>ai, compute, token, spv, loans, datacenter, cloud, capex, credit, contagion, syndicated, tech</t>
        </is>
      </c>
      <c r="G3" s="300" t="inlineStr">
        <is>
          <t>KO-FIN-COMPUTE-TOKEN-DEFLATION-001</t>
        </is>
      </c>
      <c r="H3" s="300" t="inlineStr">
        <is>
          <t>KO-FIN-SHADOW-CAPEX-COMMITMENT-WALL-001</t>
        </is>
      </c>
      <c r="I3" s="300" t="inlineStr">
        <is>
          <t>KO-FIN-BASIS-TRADE-LEVERAGE-001</t>
        </is>
      </c>
      <c r="J3" s="300" t="n"/>
      <c r="K3" s="310" t="n"/>
      <c r="L3" s="310" t="inlineStr">
        <is>
          <t>IO-StevenVanMetre-SPVCreditArbitrageContagion-001, IO-StevenVanMetre-ComputeTokenDeflationMarginSqueeze-002, IO-StevenVanMetre-ShadowCapexCommitmentWall-003, IO-FelixPrehn-TreasuryBasisTradeLiquidityRisk-003</t>
        </is>
      </c>
      <c r="M3" s="310" t="inlineStr">
        <is>
          <t>EO-StevenVanMetre-OracleProjectJupiterLoans-001, EO-StevenVanMetre-SPVRatingArbitrage-003, EO-StevenVanMetre-ProjectJupiterDelayTimeline-005, EO-StevenVanMetre-HyperscalerFCFDeficits-006, EO-StevenVanMetre-AIComputeTokenPricingCollapse-008, EO-StevenVanMetre-HyperscalerDebtIssuanceForecast-009, EO-StevenVanMetre-OracleCreditDowngrade-004, EO-StevenVanMetre-MorganStanleyOffBalanceSheetObligations-007, EO-FelixPrehn-HedgeFundTreasuryBasisTrade-006</t>
        </is>
      </c>
      <c r="N3" s="310" t="inlineStr">
        <is>
          <t>VIDEO-003, VIDEO-004</t>
        </is>
      </c>
      <c r="O3" s="310" t="inlineStr">
        <is>
          <t>Approved</t>
        </is>
      </c>
    </row>
    <row r="4">
      <c r="A4" s="300" t="inlineStr">
        <is>
          <t>CLUSTER_SOVEREIGN_DEBT_SPIRAL</t>
        </is>
      </c>
      <c r="B4" s="300" t="inlineStr">
        <is>
          <t>Sovereign Debt &amp; Fiscal Dominance Spiral</t>
        </is>
      </c>
      <c r="C4" s="310" t="inlineStr">
        <is>
          <t>KO-FIN-DEBT-INTEREST-SPIRAL-001</t>
        </is>
      </c>
      <c r="D4" s="300" t="inlineStr">
        <is>
          <t>Fiscal Economics / Sovereign Debt</t>
        </is>
      </c>
      <c r="E4" s="310" t="n">
        <v>0.9</v>
      </c>
      <c r="F4" s="310" t="inlineStr">
        <is>
          <t>debt, treasury, basis trade, fiscal, interest, refinancing, bond, yield, supply shock, inflation</t>
        </is>
      </c>
      <c r="G4" s="300" t="inlineStr">
        <is>
          <t>KO-FIN-BEAR-STEEPENING-001</t>
        </is>
      </c>
      <c r="H4" s="300" t="inlineStr">
        <is>
          <t>KO-FIN-BASIS-TRADE-LEVERAGE-001</t>
        </is>
      </c>
      <c r="I4" s="300" t="inlineStr">
        <is>
          <t>KO-MACRO-SUPPLY-SHOCK-POLICY-FAILURE-001</t>
        </is>
      </c>
      <c r="J4" s="300" t="n"/>
      <c r="K4" s="310" t="n"/>
      <c r="L4" s="310" t="inlineStr">
        <is>
          <t>IO-JordanRoyByrne-SovereignDebtInterestSpiral-002, IO-JordanRoyByrne-BearSteepeningTransmission-001, IO-FelixPrehn-TreasuryBasisTradeLiquidityRisk-003, IO-FelixPrehn-EnergyFertilizerInflationTransmission-001</t>
        </is>
      </c>
      <c r="M4" s="310" t="inlineStr">
        <is>
          <t>EO-JordanRoyByrne-SovereignDebtRefinancingLoad-005, EO-JordanRoyByrne-NetInterestRevenueRatio-006, EO-JordanRoyByrne-BearSteepeningSpread-001, EO-JordanRoyByrne-RealRateDecoupling-002, EO-FelixPrehn-HedgeFundTreasuryBasisTrade-006, EO-FelixPrehn-USTreasuryCashBuyback-009, EO-FelixPrehn-SulfuricAcidExportBan-001</t>
        </is>
      </c>
      <c r="N4" s="310" t="inlineStr">
        <is>
          <t>VIDEO-001, VIDEO-003</t>
        </is>
      </c>
      <c r="O4" s="310" t="inlineStr">
        <is>
          <t>Approved</t>
        </is>
      </c>
    </row>
    <row r="5">
      <c r="A5" s="300" t="inlineStr">
        <is>
          <t>CLUSTER_MARKET_PSYCHOLOGY_REGIME</t>
        </is>
      </c>
      <c r="B5" s="300" t="inlineStr">
        <is>
          <t>Market Psychology &amp; Reflexive Regime Shifts</t>
        </is>
      </c>
      <c r="C5" s="310" t="inlineStr">
        <is>
          <t>KO-FIN-CONSENSUS-SATURATION-001</t>
        </is>
      </c>
      <c r="D5" s="300" t="inlineStr">
        <is>
          <t>Financial Markets / Market Psychology</t>
        </is>
      </c>
      <c r="E5" s="310" t="n">
        <v>0.88</v>
      </c>
      <c r="F5" s="310" t="inlineStr">
        <is>
          <t>psychology, consensus, regime, reflexivity, central bank, perception, reality, resilience, failure</t>
        </is>
      </c>
      <c r="G5" s="300" t="inlineStr">
        <is>
          <t>KO-STRAT-REGIME-ADAPTIVE-EXECUTION-001</t>
        </is>
      </c>
      <c r="H5" s="300" t="inlineStr">
        <is>
          <t>KO-MACRO-PERCEPTION-REALITY-ARBITRAGE-001</t>
        </is>
      </c>
      <c r="I5" s="300" t="inlineStr">
        <is>
          <t>KO-MACRO-RESOURCE-REFLEXIVITY-LOOP-001</t>
        </is>
      </c>
      <c r="J5" s="300" t="inlineStr">
        <is>
          <t>KO-ARCH-FAILURE-CODIFICATION-RESILIENCE-001</t>
        </is>
      </c>
      <c r="K5" s="310" t="n"/>
      <c r="L5" s="310" t="inlineStr">
        <is>
          <t>IO-BobThompson-ConsensusSaturation-001, IO-BobThompson-RegimeAdaptiveExecution-003, IO-BobThompson-PerceptionRealityArbitrage-002, IO-BobThompson-ResourceReflexivityCapitalization-004, IO-BobThompson-GenerationalFailureResilience-005</t>
        </is>
      </c>
      <c r="M5" s="310" t="inlineStr">
        <is>
          <t>EO-BobThompson-ConsensusSaturationDruckenmiller-001, EO-BobThompson-DebtDowngrade2011TopAnalog-002, EO-BobThompson-ParabolicVelocityConsolidationSymmetry-006, EO-BobThompson-PrimaryBullMarketHeuristic-007, EO-BobThompson-PrimaryBearMarketHeuristic-008, EO-BobThompson-PerceptionRealityZone-003, EO-BobThompson-ResourceMarketDecoupling-011, EO-BobThompson-SorosReflexivityResourceLoop-012, EO-BobThompson-GenerationalFailureTransmission-009, EO-BobThompson-RubberBallVsGlassResilience-010</t>
        </is>
      </c>
      <c r="N5" s="310" t="inlineStr">
        <is>
          <t>VIDEO-005</t>
        </is>
      </c>
      <c r="O5" s="310" t="inlineStr">
        <is>
          <t>Approved</t>
        </is>
      </c>
    </row>
    <row r="21" ht="15.75" customHeight="1" s="132"/>
    <row r="22" ht="15.75" customHeight="1" s="132"/>
    <row r="23" ht="15.75" customHeight="1" s="132"/>
    <row r="24" ht="15.75" customHeight="1" s="132"/>
    <row r="25" ht="15.75" customHeight="1" s="132"/>
    <row r="26" ht="15.75" customHeight="1" s="132"/>
    <row r="27" ht="15.75" customHeight="1" s="132"/>
    <row r="28" ht="15.75" customHeight="1" s="132"/>
    <row r="29" ht="15.75" customHeight="1" s="132"/>
    <row r="30" ht="15.75" customHeight="1" s="132"/>
    <row r="31" ht="15.75" customHeight="1" s="132"/>
    <row r="32" ht="15.75" customHeight="1" s="132"/>
    <row r="33" ht="15.75" customHeight="1" s="132"/>
    <row r="34" ht="15.75" customHeight="1" s="132"/>
    <row r="35" ht="15.75" customHeight="1" s="132"/>
    <row r="36" ht="15.75" customHeight="1" s="132"/>
    <row r="37" ht="15.75" customHeight="1" s="132"/>
    <row r="38" ht="15.75" customHeight="1" s="132"/>
    <row r="39" ht="15.75" customHeight="1" s="132"/>
    <row r="40" ht="15.75" customHeight="1" s="132"/>
    <row r="41" ht="15.75" customHeight="1" s="132"/>
    <row r="42" ht="15.75" customHeight="1" s="132"/>
    <row r="43" ht="15.75" customHeight="1" s="132"/>
    <row r="44" ht="15.75" customHeight="1" s="132"/>
    <row r="45" ht="15.75" customHeight="1" s="132"/>
    <row r="46" ht="15.75" customHeight="1" s="132"/>
    <row r="47" ht="15.75" customHeight="1" s="132"/>
    <row r="48" ht="15.75" customHeight="1" s="132"/>
    <row r="49" ht="15.75" customHeight="1" s="132"/>
    <row r="50" ht="15.75" customHeight="1" s="132"/>
    <row r="51" ht="15.75" customHeight="1" s="132"/>
    <row r="52" ht="15.75" customHeight="1" s="132"/>
    <row r="53" ht="15.75" customHeight="1" s="132"/>
    <row r="54" ht="15.75" customHeight="1" s="132"/>
    <row r="55" ht="15.75" customHeight="1" s="132"/>
    <row r="56" ht="15.75" customHeight="1" s="132"/>
    <row r="57" ht="15.75" customHeight="1" s="132"/>
    <row r="58" ht="15.75" customHeight="1" s="132"/>
    <row r="59" ht="15.75" customHeight="1" s="132"/>
    <row r="60" ht="15.75" customHeight="1" s="132"/>
    <row r="61" ht="15.75" customHeight="1" s="132"/>
    <row r="62" ht="15.75" customHeight="1" s="132"/>
    <row r="63" ht="15.75" customHeight="1" s="132"/>
    <row r="64" ht="15.75" customHeight="1" s="132"/>
    <row r="65" ht="15.75" customHeight="1" s="132"/>
    <row r="66" ht="15.75" customHeight="1" s="132"/>
    <row r="67" ht="15.75" customHeight="1" s="132"/>
    <row r="68" ht="15.75" customHeight="1" s="132"/>
    <row r="69" ht="15.75" customHeight="1" s="132"/>
    <row r="70" ht="15.75" customHeight="1" s="132"/>
    <row r="71" ht="15.75" customHeight="1" s="132"/>
    <row r="72" ht="15.75" customHeight="1" s="132"/>
    <row r="73" ht="15.75" customHeight="1" s="132"/>
    <row r="74" ht="15.75" customHeight="1" s="132"/>
    <row r="75" ht="15.75" customHeight="1" s="132"/>
    <row r="76" ht="15.75" customHeight="1" s="132"/>
    <row r="77" ht="15.75" customHeight="1" s="132"/>
    <row r="78" ht="15.75" customHeight="1" s="132"/>
    <row r="79" ht="15.75" customHeight="1" s="132"/>
    <row r="80" ht="15.75" customHeight="1" s="132"/>
    <row r="81" ht="15.75" customHeight="1" s="132"/>
    <row r="82" ht="15.75" customHeight="1" s="132"/>
    <row r="83" ht="15.75" customHeight="1" s="132"/>
    <row r="84" ht="15.75" customHeight="1" s="132"/>
    <row r="85" ht="15.75" customHeight="1" s="132"/>
    <row r="86" ht="15.75" customHeight="1" s="132"/>
    <row r="87" ht="15.75" customHeight="1" s="132"/>
    <row r="88" ht="15.75" customHeight="1" s="132"/>
    <row r="89" ht="15.75" customHeight="1" s="132"/>
    <row r="90" ht="15.75" customHeight="1" s="132"/>
    <row r="91" ht="15.75" customHeight="1" s="132"/>
    <row r="92" ht="15.75" customHeight="1" s="132"/>
    <row r="93" ht="15.75" customHeight="1" s="132"/>
    <row r="94" ht="15.75" customHeight="1" s="132"/>
    <row r="95" ht="15.75" customHeight="1" s="132"/>
    <row r="96" ht="15.75" customHeight="1" s="132"/>
    <row r="97" ht="15.75" customHeight="1" s="132"/>
    <row r="98" ht="15.75" customHeight="1" s="132"/>
    <row r="99" ht="15.75" customHeight="1" s="132"/>
    <row r="100" ht="15.75" customHeight="1" s="132"/>
    <row r="101" ht="15.75" customHeight="1" s="132"/>
    <row r="102" ht="15.75" customHeight="1" s="132"/>
    <row r="103" ht="15.75" customHeight="1" s="132"/>
    <row r="104" ht="15.75" customHeight="1" s="132"/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autoFilter ref="$A$1:$O$5"/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ColWidth="14.43" defaultRowHeight="15" customHeight="1" outlineLevelRow="2"/>
  <cols>
    <col width="8.710000000000001" customWidth="1" style="132" min="1" max="26"/>
  </cols>
  <sheetData>
    <row r="1">
      <c r="A1" s="309" t="inlineStr">
        <is>
          <t>Asset_ID</t>
        </is>
      </c>
      <c r="B1" s="309" t="inlineStr">
        <is>
          <t>Asset_Type</t>
        </is>
      </c>
      <c r="C1" s="309" t="inlineStr">
        <is>
          <t>Canonical_Path</t>
        </is>
      </c>
      <c r="D1" s="309" t="inlineStr">
        <is>
          <t>SHA256_Checksum</t>
        </is>
      </c>
      <c r="E1" s="309" t="inlineStr">
        <is>
          <t>Record_Count</t>
        </is>
      </c>
      <c r="F1" s="309" t="inlineStr">
        <is>
          <t>Last_Verified_UTC</t>
        </is>
      </c>
      <c r="G1" s="309" t="inlineStr">
        <is>
          <t>Integrity_Status</t>
        </is>
      </c>
    </row>
    <row r="2">
      <c r="A2" s="232" t="inlineStr">
        <is>
          <t>RIE_CANONICAL_DATA_TABLES.xlsx</t>
        </is>
      </c>
      <c r="B2" s="232" t="inlineStr">
        <is>
          <t>CANONICAL_SUBSTRATE</t>
        </is>
      </c>
      <c r="C2" s="232" t="inlineStr">
        <is>
          <t>000_RIE_New_Era/INTELLIGENCE/DATA/RIE_CANONICAL_DATA_TABLES.xlsx</t>
        </is>
      </c>
      <c r="D2" s="232" t="inlineStr">
        <is>
          <t>e80ed99c0accc5902952927146e44516ecae199d581881186a0db3b7e785130c</t>
        </is>
      </c>
      <c r="E2" s="232" t="n">
        <v>168</v>
      </c>
      <c r="F2" s="232" t="inlineStr">
        <is>
          <t>2026-09-29 05:50:00</t>
        </is>
      </c>
      <c r="G2" s="232" t="inlineStr">
        <is>
          <t>PASS (BIT_LEVEL_PARITY)</t>
        </is>
      </c>
    </row>
    <row r="3">
      <c r="A3" s="232" t="inlineStr">
        <is>
          <t>EO_MASTER_INDEX.xlsx</t>
        </is>
      </c>
      <c r="B3" s="232" t="inlineStr">
        <is>
          <t>MASTER_INDEX</t>
        </is>
      </c>
      <c r="C3" s="232" t="inlineStr">
        <is>
          <t>000_RIE_New_Era/INTELLIGENCE/EO_MASTER_INDEX.xlsx</t>
        </is>
      </c>
      <c r="D3" s="232" t="inlineStr">
        <is>
          <t>af1ba7bbc629560427121a563e574fbcf6b847193787950c9a731d304da52553</t>
        </is>
      </c>
      <c r="E3" s="232" t="n">
        <v>98</v>
      </c>
      <c r="F3" s="232" t="inlineStr">
        <is>
          <t>2026-09-29 05:50:00</t>
        </is>
      </c>
      <c r="G3" s="232" t="inlineStr">
        <is>
          <t>PASS (BIT_LEVEL_PARITY)</t>
        </is>
      </c>
    </row>
    <row r="4">
      <c r="A4" s="232" t="inlineStr">
        <is>
          <t>IO_MASTER_INDEX.xlsx</t>
        </is>
      </c>
      <c r="B4" s="232" t="inlineStr">
        <is>
          <t>MASTER_INDEX</t>
        </is>
      </c>
      <c r="C4" s="232" t="inlineStr">
        <is>
          <t>000_RIE_New_Era/INTELLIGENCE/IO_MASTER_INDEX.xlsx</t>
        </is>
      </c>
      <c r="D4" s="232" t="inlineStr">
        <is>
          <t>797bc2ec415266c37f36845923dbed37f40c9e648ab717ccc650f9bc50f860ac</t>
        </is>
      </c>
      <c r="E4" s="232" t="n">
        <v>41</v>
      </c>
      <c r="F4" s="232" t="inlineStr">
        <is>
          <t>2026-09-29 05:50:00</t>
        </is>
      </c>
      <c r="G4" s="232" t="inlineStr">
        <is>
          <t>PASS (BIT_LEVEL_PARITY)</t>
        </is>
      </c>
    </row>
    <row r="5">
      <c r="A5" s="232" t="inlineStr">
        <is>
          <t>KO_MASTER_INDEX.xlsx</t>
        </is>
      </c>
      <c r="B5" s="232" t="inlineStr">
        <is>
          <t>MASTER_INDEX</t>
        </is>
      </c>
      <c r="C5" s="232" t="inlineStr">
        <is>
          <t>000_RIE_New_Era/INTELLIGENCE/KO_MASTER_INDEX.xlsx</t>
        </is>
      </c>
      <c r="D5" s="232" t="inlineStr">
        <is>
          <t>cfb94d29a8c636ff224b479d997023358e1ec680a92dc9220bf0dc80361b33ad</t>
        </is>
      </c>
      <c r="E5" s="232" t="n">
        <v>29</v>
      </c>
      <c r="F5" s="232" t="inlineStr">
        <is>
          <t>2026-09-29 05:50:00</t>
        </is>
      </c>
      <c r="G5" s="232" t="inlineStr">
        <is>
          <t>PASS (BIT_LEVEL_PARITY)</t>
        </is>
      </c>
    </row>
    <row r="6">
      <c r="A6" s="232" t="inlineStr">
        <is>
          <t>SOURCE_RECORD_VIDEO-001.md</t>
        </is>
      </c>
      <c r="B6" s="232" t="inlineStr">
        <is>
          <t>SOURCE_CUSTODY</t>
        </is>
      </c>
      <c r="C6" s="232" t="inlineStr">
        <is>
          <t>000_RIE_New_Era/INTELLIGENCE/SOURCE_RECORDS/SOURCE_RECORD_VIDEO-001.md</t>
        </is>
      </c>
      <c r="D6" s="232" t="inlineStr">
        <is>
          <t>93b357b484e8a7ac55734d89bb13453688e0dd8760bdfb0c37cf8e368ad36df8</t>
        </is>
      </c>
      <c r="E6" s="232" t="n">
        <v>1</v>
      </c>
      <c r="F6" s="232" t="inlineStr">
        <is>
          <t>2026-09-22 18:45:00</t>
        </is>
      </c>
      <c r="G6" s="232" t="inlineStr">
        <is>
          <t>PASS (CUSTODY_ORIGIN)</t>
        </is>
      </c>
    </row>
    <row r="7">
      <c r="A7" s="232" t="inlineStr">
        <is>
          <t>SOURCE_RECORD_VIDEO-002.md</t>
        </is>
      </c>
      <c r="B7" s="232" t="inlineStr">
        <is>
          <t>SOURCE_CUSTODY</t>
        </is>
      </c>
      <c r="C7" s="232" t="inlineStr">
        <is>
          <t>000_RIE_New_Era/INTELLIGENCE/SOURCE_RECORDS/SOURCE_RECORD_VIDEO-002.md</t>
        </is>
      </c>
      <c r="D7" s="232" t="inlineStr">
        <is>
          <t>331a80ea4ba2c715c3af659d339e96132772c059ee15e8f9f60f701bf991408b</t>
        </is>
      </c>
      <c r="E7" s="232" t="n">
        <v>1</v>
      </c>
      <c r="F7" s="232" t="inlineStr">
        <is>
          <t>2026-09-22 18:45:00</t>
        </is>
      </c>
      <c r="G7" s="232" t="inlineStr">
        <is>
          <t>PASS (CUSTODY_ORIGIN)</t>
        </is>
      </c>
    </row>
    <row r="8">
      <c r="A8" s="232" t="inlineStr">
        <is>
          <t>SOURCE_RECORD_VIDEO-003.md</t>
        </is>
      </c>
      <c r="B8" s="232" t="inlineStr">
        <is>
          <t>SOURCE_CUSTODY</t>
        </is>
      </c>
      <c r="C8" s="232" t="inlineStr">
        <is>
          <t>000_RIE_New_Era/INTELLIGENCE/SOURCE_RECORDS/SOURCE_RECORD_VIDEO-003.md</t>
        </is>
      </c>
      <c r="D8" s="232" t="inlineStr">
        <is>
          <t>5175c9821073bb48aa740c303bf64db69cfa82675a41a773a445d27a6bb2394f</t>
        </is>
      </c>
      <c r="E8" s="232" t="n">
        <v>1</v>
      </c>
      <c r="F8" s="232" t="inlineStr">
        <is>
          <t>2026-09-22 18:45:00</t>
        </is>
      </c>
      <c r="G8" s="232" t="inlineStr">
        <is>
          <t>PASS (CUSTODY_ORIGIN)</t>
        </is>
      </c>
    </row>
    <row r="9">
      <c r="A9" s="232" t="inlineStr">
        <is>
          <t>SOURCE_RECORD_VIDEO-004.md</t>
        </is>
      </c>
      <c r="B9" s="232" t="inlineStr">
        <is>
          <t>SOURCE_CUSTODY</t>
        </is>
      </c>
      <c r="C9" s="232" t="inlineStr">
        <is>
          <t>000_RIE_New_Era/INTELLIGENCE/SOURCE_RECORDS/SOURCE_RECORD_VIDEO-004.md</t>
        </is>
      </c>
      <c r="D9" s="232" t="inlineStr">
        <is>
          <t>34cfa670972b602f46172716d1bf74b5341be046eb253d6705af687ece0a71f9</t>
        </is>
      </c>
      <c r="E9" s="232" t="n">
        <v>1</v>
      </c>
      <c r="F9" s="232" t="inlineStr">
        <is>
          <t>2026-09-22 18:45:00</t>
        </is>
      </c>
      <c r="G9" s="232" t="inlineStr">
        <is>
          <t>PASS (CUSTODY_ORIGIN)</t>
        </is>
      </c>
    </row>
    <row r="10">
      <c r="A10" s="232" t="inlineStr">
        <is>
          <t>SOURCE_RECORD_VIDEO-005.md</t>
        </is>
      </c>
      <c r="B10" s="232" t="inlineStr">
        <is>
          <t>SOURCE_CUSTODY</t>
        </is>
      </c>
      <c r="C10" s="232" t="inlineStr">
        <is>
          <t>000_RIE_New_Era/INTELLIGENCE/SOURCE_RECORDS/SOURCE_RECORD_VIDEO-005.md</t>
        </is>
      </c>
      <c r="D10" s="232" t="inlineStr">
        <is>
          <t>fc9d080193a7d203f002a743b29e0619430161e465142d6f3d56e9a31412d531</t>
        </is>
      </c>
      <c r="E10" s="232" t="n">
        <v>1</v>
      </c>
      <c r="F10" s="232" t="inlineStr">
        <is>
          <t>2026-09-22 18:45:00</t>
        </is>
      </c>
      <c r="G10" s="232" t="inlineStr">
        <is>
          <t>PASS (CUSTODY_ORIGIN)</t>
        </is>
      </c>
    </row>
    <row r="11">
      <c r="A11" s="0" t="inlineStr">
        <is>
          <t>RIE_v1.4.0_SEMANTIC_CERTIFIED_RC1</t>
        </is>
      </c>
      <c r="B11" s="0" t="inlineStr">
        <is>
          <t>DEVELOPMENT_CANDIDATE</t>
        </is>
      </c>
      <c r="C11" s="0" t="inlineStr">
        <is>
          <t>006_ENGINE/REMEDIATION_V3_DEV/</t>
        </is>
      </c>
      <c r="D11" s="0" t="inlineStr">
        <is>
          <t>204ab63ffcb17fe6094b4649e512bed4b94931f8653b8858711ad32bf0ef2f9d</t>
        </is>
      </c>
      <c r="E11" s="0" t="n">
        <v>30</v>
      </c>
      <c r="F11" s="0" t="inlineStr">
        <is>
          <t>2026-10-05 03:22:00</t>
        </is>
      </c>
      <c r="G11" s="0" t="inlineStr">
        <is>
          <t>PASS (18/18 Unit Tests, 3/3 Benchmarks, 36/36 Semantic Gates)</t>
        </is>
      </c>
    </row>
    <row r="12">
      <c r="A12" s="0" t="inlineStr">
        <is>
          <t>RIE_PHASE6B_RC1_SEAL_DECLARATION.md</t>
        </is>
      </c>
      <c r="B12" s="0" t="inlineStr">
        <is>
          <t>CUSTODY_SEAL</t>
        </is>
      </c>
      <c r="C12" s="0" t="inlineStr">
        <is>
          <t>000_RIE_New_Era/RIE_PHASE6B_RC1_SEAL_DECLARATION.md</t>
        </is>
      </c>
      <c r="D12" s="0" t="inlineStr">
        <is>
          <t>ceae0887cf76ef1d126eb1bc5290b20c9cccdbfee8c0e831c3ce32af8501ff56</t>
        </is>
      </c>
      <c r="E12" s="0" t="n">
        <v>1</v>
      </c>
      <c r="F12" s="0" t="inlineStr">
        <is>
          <t>2026-10-05 03:26:00</t>
        </is>
      </c>
      <c r="G12" s="0" t="inlineStr">
        <is>
          <t>SEALED (CUSTODY_ANCHOR)</t>
        </is>
      </c>
    </row>
    <row r="21" ht="15.75" customHeight="1" s="132"/>
    <row r="22" ht="15.75" customHeight="1" s="132"/>
    <row r="23" ht="15.75" customHeight="1" s="132"/>
    <row r="24" ht="15.75" customHeight="1" s="132"/>
    <row r="25" ht="15.75" customHeight="1" s="132"/>
    <row r="26" ht="15.75" customHeight="1" s="132"/>
    <row r="27" ht="15.75" customHeight="1" s="132"/>
    <row r="28" ht="15.75" customHeight="1" s="132"/>
    <row r="29" ht="15.75" customHeight="1" s="132"/>
    <row r="30" ht="15.75" customHeight="1" s="132"/>
    <row r="31" ht="15.75" customHeight="1" s="132"/>
    <row r="32" ht="15.75" customHeight="1" s="132"/>
    <row r="33" ht="15.75" customHeight="1" s="132"/>
    <row r="34" ht="15.75" customHeight="1" s="132"/>
    <row r="35" ht="15.75" customHeight="1" s="132"/>
    <row r="36" ht="15.75" customHeight="1" s="132"/>
    <row r="37" ht="15.75" customHeight="1" s="132"/>
    <row r="38" ht="15.75" customHeight="1" s="132"/>
    <row r="39" ht="15.75" customHeight="1" s="132"/>
    <row r="40" ht="15.75" customHeight="1" s="132"/>
    <row r="41" ht="15.75" customHeight="1" s="132"/>
    <row r="42" ht="15.75" customHeight="1" s="132"/>
    <row r="43" ht="15.75" customHeight="1" s="132"/>
    <row r="44" ht="15.75" customHeight="1" s="132"/>
    <row r="45" ht="15.75" customHeight="1" s="132"/>
    <row r="46" ht="15.75" customHeight="1" s="132"/>
    <row r="47" ht="15.75" customHeight="1" s="132"/>
    <row r="48" ht="15.75" customHeight="1" s="132"/>
    <row r="49" ht="15.75" customHeight="1" s="132"/>
    <row r="50" ht="15.75" customHeight="1" s="132"/>
    <row r="51" ht="15.75" customHeight="1" s="132"/>
    <row r="52" ht="15.75" customHeight="1" s="132"/>
    <row r="53" ht="15.75" customHeight="1" s="132"/>
    <row r="54" ht="15.75" customHeight="1" s="132"/>
    <row r="55" ht="15.75" customHeight="1" s="132"/>
    <row r="56" ht="15.75" customHeight="1" s="132"/>
    <row r="57" ht="15.75" customHeight="1" s="132"/>
    <row r="58" ht="15.75" customHeight="1" s="132"/>
    <row r="59" ht="15.75" customHeight="1" s="132"/>
    <row r="60" ht="15.75" customHeight="1" s="132"/>
    <row r="61" ht="15.75" customHeight="1" s="132"/>
    <row r="62" ht="15.75" customHeight="1" s="132"/>
    <row r="63" ht="15.75" customHeight="1" s="132"/>
    <row r="64" ht="15.75" customHeight="1" s="132"/>
    <row r="65" ht="15.75" customHeight="1" s="132"/>
    <row r="66" ht="15.75" customHeight="1" s="132"/>
    <row r="67" ht="15.75" customHeight="1" s="132"/>
    <row r="68" ht="15.75" customHeight="1" s="132"/>
    <row r="69" ht="15.75" customHeight="1" s="132"/>
    <row r="70" ht="15.75" customHeight="1" s="132"/>
    <row r="71" ht="15.75" customHeight="1" s="132"/>
    <row r="72" ht="15.75" customHeight="1" s="132"/>
    <row r="73" ht="15.75" customHeight="1" s="132"/>
    <row r="74" ht="15.75" customHeight="1" s="132"/>
    <row r="75" ht="15.75" customHeight="1" s="132"/>
    <row r="76" ht="15.75" customHeight="1" s="132"/>
    <row r="77" ht="15.75" customHeight="1" s="132"/>
    <row r="78" ht="15.75" customHeight="1" s="132"/>
    <row r="79" ht="15.75" customHeight="1" s="132"/>
    <row r="80" ht="15.75" customHeight="1" s="132"/>
    <row r="81" ht="15.75" customHeight="1" s="132"/>
    <row r="82" ht="15.75" customHeight="1" s="132"/>
    <row r="83" ht="15.75" customHeight="1" s="132"/>
    <row r="84" ht="15.75" customHeight="1" s="132"/>
    <row r="85" ht="15.75" customHeight="1" s="132"/>
    <row r="86" ht="15.75" customHeight="1" s="132"/>
    <row r="87" ht="15.75" customHeight="1" s="132"/>
    <row r="88" ht="15.75" customHeight="1" s="132"/>
    <row r="89" ht="15.75" customHeight="1" s="132"/>
    <row r="90" ht="15.75" customHeight="1" s="132"/>
    <row r="91" ht="15.75" customHeight="1" s="132"/>
    <row r="92" ht="15.75" customHeight="1" s="132"/>
    <row r="93" ht="15.75" customHeight="1" s="132"/>
    <row r="94" ht="15.75" customHeight="1" s="132"/>
    <row r="95" ht="15.75" customHeight="1" s="132"/>
    <row r="96" ht="15.75" customHeight="1" s="132"/>
    <row r="97" ht="15.75" customHeight="1" s="132"/>
    <row r="98" ht="15.75" customHeight="1" s="132"/>
    <row r="99" ht="15.75" customHeight="1" s="132"/>
    <row r="100" ht="15.75" customHeight="1" s="132"/>
    <row r="101" ht="15.75" customHeight="1" s="132"/>
    <row r="102" ht="15.75" customHeight="1" s="132"/>
    <row r="103" ht="15.75" customHeight="1" s="132"/>
    <row r="104" ht="15.75" customHeight="1" s="132"/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14.43" defaultRowHeight="15" customHeight="1" outlineLevelRow="2"/>
  <cols>
    <col width="8.710000000000001" customWidth="1" style="132" min="1" max="26"/>
  </cols>
  <sheetData>
    <row r="1">
      <c r="A1" s="309" t="inlineStr">
        <is>
          <t>Decision_ID</t>
        </is>
      </c>
      <c r="B1" s="309" t="inlineStr">
        <is>
          <t>Queue_ID</t>
        </is>
      </c>
      <c r="C1" s="309" t="inlineStr">
        <is>
          <t>Subject_Object</t>
        </is>
      </c>
      <c r="D1" s="309" t="inlineStr">
        <is>
          <t>Human_Decision</t>
        </is>
      </c>
      <c r="E1" s="309" t="inlineStr">
        <is>
          <t>Ratified_Status</t>
        </is>
      </c>
      <c r="F1" s="309" t="inlineStr">
        <is>
          <t>Decision_Date</t>
        </is>
      </c>
      <c r="G1" s="309" t="inlineStr">
        <is>
          <t>Architect_Remark</t>
        </is>
      </c>
      <c r="H1" s="309" t="inlineStr">
        <is>
          <t>Authority_Ref</t>
        </is>
      </c>
    </row>
    <row r="21" ht="15.75" customHeight="1" s="132"/>
    <row r="22" ht="15.75" customHeight="1" s="132"/>
    <row r="23" ht="15.75" customHeight="1" s="132"/>
    <row r="24" ht="15.75" customHeight="1" s="132"/>
    <row r="25" ht="15.75" customHeight="1" s="132"/>
    <row r="26" ht="15.75" customHeight="1" s="132"/>
    <row r="27" ht="15.75" customHeight="1" s="132"/>
    <row r="28" ht="15.75" customHeight="1" s="132"/>
    <row r="29" ht="15.75" customHeight="1" s="132"/>
    <row r="30" ht="15.75" customHeight="1" s="132"/>
    <row r="31" ht="15.75" customHeight="1" s="132"/>
    <row r="32" ht="15.75" customHeight="1" s="132"/>
    <row r="33" ht="15.75" customHeight="1" s="132"/>
    <row r="34" ht="15.75" customHeight="1" s="132"/>
    <row r="35" ht="15.75" customHeight="1" s="132"/>
    <row r="36" ht="15.75" customHeight="1" s="132"/>
    <row r="37" ht="15.75" customHeight="1" s="132"/>
    <row r="38" ht="15.75" customHeight="1" s="132"/>
    <row r="39" ht="15.75" customHeight="1" s="132"/>
    <row r="40" ht="15.75" customHeight="1" s="132"/>
    <row r="41" ht="15.75" customHeight="1" s="132"/>
    <row r="42" ht="15.75" customHeight="1" s="132"/>
    <row r="43" ht="15.75" customHeight="1" s="132"/>
    <row r="44" ht="15.75" customHeight="1" s="132"/>
    <row r="45" ht="15.75" customHeight="1" s="132"/>
    <row r="46" ht="15.75" customHeight="1" s="132"/>
    <row r="47" ht="15.75" customHeight="1" s="132"/>
    <row r="48" ht="15.75" customHeight="1" s="132"/>
    <row r="49" ht="15.75" customHeight="1" s="132"/>
    <row r="50" ht="15.75" customHeight="1" s="132"/>
    <row r="51" ht="15.75" customHeight="1" s="132"/>
    <row r="52" ht="15.75" customHeight="1" s="132"/>
    <row r="53" ht="15.75" customHeight="1" s="132"/>
    <row r="54" ht="15.75" customHeight="1" s="132"/>
    <row r="55" ht="15.75" customHeight="1" s="132"/>
    <row r="56" ht="15.75" customHeight="1" s="132"/>
    <row r="57" ht="15.75" customHeight="1" s="132"/>
    <row r="58" ht="15.75" customHeight="1" s="132"/>
    <row r="59" ht="15.75" customHeight="1" s="132"/>
    <row r="60" ht="15.75" customHeight="1" s="132"/>
    <row r="61" ht="15.75" customHeight="1" s="132"/>
    <row r="62" ht="15.75" customHeight="1" s="132"/>
    <row r="63" ht="15.75" customHeight="1" s="132"/>
    <row r="64" ht="15.75" customHeight="1" s="132"/>
    <row r="65" ht="15.75" customHeight="1" s="132"/>
    <row r="66" ht="15.75" customHeight="1" s="132"/>
    <row r="67" ht="15.75" customHeight="1" s="132"/>
    <row r="68" ht="15.75" customHeight="1" s="132"/>
    <row r="69" ht="15.75" customHeight="1" s="132"/>
    <row r="70" ht="15.75" customHeight="1" s="132"/>
    <row r="71" ht="15.75" customHeight="1" s="132"/>
    <row r="72" ht="15.75" customHeight="1" s="132"/>
    <row r="73" ht="15.75" customHeight="1" s="132"/>
    <row r="74" ht="15.75" customHeight="1" s="132"/>
    <row r="75" ht="15.75" customHeight="1" s="132"/>
    <row r="76" ht="15.75" customHeight="1" s="132"/>
    <row r="77" ht="15.75" customHeight="1" s="132"/>
    <row r="78" ht="15.75" customHeight="1" s="132"/>
    <row r="79" ht="15.75" customHeight="1" s="132"/>
    <row r="80" ht="15.75" customHeight="1" s="132"/>
    <row r="81" ht="15.75" customHeight="1" s="132"/>
    <row r="82" ht="15.75" customHeight="1" s="132"/>
    <row r="83" ht="15.75" customHeight="1" s="132"/>
    <row r="84" ht="15.75" customHeight="1" s="132"/>
    <row r="85" ht="15.75" customHeight="1" s="132"/>
    <row r="86" ht="15.75" customHeight="1" s="132"/>
    <row r="87" ht="15.75" customHeight="1" s="132"/>
    <row r="88" ht="15.75" customHeight="1" s="132"/>
    <row r="89" ht="15.75" customHeight="1" s="132"/>
    <row r="90" ht="15.75" customHeight="1" s="132"/>
    <row r="91" ht="15.75" customHeight="1" s="132"/>
    <row r="92" ht="15.75" customHeight="1" s="132"/>
    <row r="93" ht="15.75" customHeight="1" s="132"/>
    <row r="94" ht="15.75" customHeight="1" s="132"/>
    <row r="95" ht="15.75" customHeight="1" s="132"/>
    <row r="96" ht="15.75" customHeight="1" s="132"/>
    <row r="97" ht="15.75" customHeight="1" s="132"/>
    <row r="98" ht="15.75" customHeight="1" s="132"/>
    <row r="99" ht="15.75" customHeight="1" s="132"/>
    <row r="100" ht="15.75" customHeight="1" s="132"/>
    <row r="101" ht="15.75" customHeight="1" s="132"/>
    <row r="102" ht="15.75" customHeight="1" s="132"/>
    <row r="103" ht="15.75" customHeight="1" s="132"/>
    <row r="104" ht="15.75" customHeight="1" s="132"/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2"/>
  <cols>
    <col width="15" customWidth="1" style="132" min="1" max="1"/>
    <col width="46" customWidth="1" style="132" min="2" max="2"/>
    <col width="81" customWidth="1" style="132" min="3" max="3"/>
    <col width="12" customWidth="1" style="132" min="4" max="4"/>
    <col width="13" customWidth="1" style="132" min="5" max="5"/>
    <col width="22" customWidth="1" style="132" min="6" max="6"/>
    <col width="137" customWidth="1" style="132" min="7" max="7"/>
    <col width="222" customWidth="1" style="132" min="8" max="8"/>
    <col width="57" customWidth="1" style="132" min="9" max="9"/>
    <col width="144" customWidth="1" style="132" min="10" max="10"/>
    <col width="8.710000000000001" customWidth="1" style="132" min="11" max="26"/>
  </cols>
  <sheetData>
    <row r="1">
      <c r="A1" s="212" t="inlineStr">
        <is>
          <t>Evolution_ID</t>
        </is>
      </c>
      <c r="B1" s="212" t="inlineStr">
        <is>
          <t>KO_ID</t>
        </is>
      </c>
      <c r="C1" s="212" t="inlineStr">
        <is>
          <t>Concept_Title</t>
        </is>
      </c>
      <c r="D1" s="212" t="inlineStr">
        <is>
          <t>Version</t>
        </is>
      </c>
      <c r="E1" s="212" t="inlineStr">
        <is>
          <t>Event_Date</t>
        </is>
      </c>
      <c r="F1" s="212" t="inlineStr">
        <is>
          <t>Trigger_Source</t>
        </is>
      </c>
      <c r="G1" s="212" t="inlineStr">
        <is>
          <t>Prior_Understanding</t>
        </is>
      </c>
      <c r="H1" s="212" t="inlineStr">
        <is>
          <t>Evolved_Understanding</t>
        </is>
      </c>
      <c r="I1" s="212" t="inlineStr">
        <is>
          <t>Confidence_Change</t>
        </is>
      </c>
      <c r="J1" s="212" t="inlineStr">
        <is>
          <t>Research_Notes</t>
        </is>
      </c>
    </row>
    <row r="2">
      <c r="A2" s="300" t="inlineStr">
        <is>
          <t>EVO-001</t>
        </is>
      </c>
      <c r="B2" s="300" t="inlineStr">
        <is>
          <t>KO-FIN-BEAR-STEEPENING-001</t>
        </is>
      </c>
      <c r="C2" s="310" t="inlineStr">
        <is>
          <t>Bear Steepening Transmission and Real Rate Decoupling</t>
        </is>
      </c>
      <c r="D2" s="300" t="inlineStr">
        <is>
          <t>v1.0</t>
        </is>
      </c>
      <c r="E2" s="310" t="n"/>
      <c r="F2" s="310" t="inlineStr">
        <is>
          <t>VIDEO-001 Ingestion</t>
        </is>
      </c>
      <c r="G2" s="300" t="inlineStr">
        <is>
          <t>Gold price was modeled as inversely correlated with US 10-year real Treasury yields under conventional monetary tightening frameworks.</t>
        </is>
      </c>
      <c r="H2" s="300" t="inlineStr">
        <is>
          <t>Bear steepening in mature debt cycles decouples gold from real yield suppression; rising long yields reflect sovereign debt credit risk rather than growth optimism.</t>
        </is>
      </c>
      <c r="I2" s="300" t="inlineStr">
        <is>
          <t>Baseline 0.88 (Initial Level 5 Candidate Promotion)</t>
        </is>
      </c>
      <c r="J2" s="300" t="inlineStr">
        <is>
          <t>Catalyzed by empirical 10Y real yield advance concurrent with gold +19% breakout in VIDEO-001; refined boundaries to fiscal dominance regime.</t>
        </is>
      </c>
    </row>
    <row r="3">
      <c r="A3" s="300" t="inlineStr">
        <is>
          <t>EVO-002</t>
        </is>
      </c>
      <c r="B3" s="300" t="inlineStr">
        <is>
          <t>KO-FIN-DEBT-INTEREST-SPIRAL-001</t>
        </is>
      </c>
      <c r="C3" s="310" t="inlineStr">
        <is>
          <t>Sovereign Debt Refinancing Load and Net Interest Revenue Threshold</t>
        </is>
      </c>
      <c r="D3" s="300" t="inlineStr">
        <is>
          <t>v1.0</t>
        </is>
      </c>
      <c r="E3" s="310" t="n"/>
      <c r="F3" s="310" t="inlineStr">
        <is>
          <t>VIDEO-001 Ingestion</t>
        </is>
      </c>
      <c r="G3" s="300" t="inlineStr">
        <is>
          <t>Sovereign debt considered an abstract macroeconomic risk without explicit arithmetic tipping points.</t>
        </is>
      </c>
      <c r="H3" s="300" t="inlineStr">
        <is>
          <t>Identified concrete arithmetic insolvency threshold: $40T debt at ~4.8% yields creates $1.2T annual net interest burden, absorbing 20% of federal tax receipts.</t>
        </is>
      </c>
      <c r="I3" s="300" t="inlineStr">
        <is>
          <t>Baseline 0.90 (High Confidence Mathematical Anchor)</t>
        </is>
      </c>
      <c r="J3" s="300" t="inlineStr">
        <is>
          <t>Catalyzed by Treasury debt rollover schedule analysis; established falsification trigger at 15% revenue absorption.</t>
        </is>
      </c>
    </row>
    <row r="4">
      <c r="A4" s="300" t="inlineStr">
        <is>
          <t>EVO-003</t>
        </is>
      </c>
      <c r="B4" s="300" t="inlineStr">
        <is>
          <t>KO-FIN-EQUITY-RATIO-VALUATION-001</t>
        </is>
      </c>
      <c r="C4" s="310" t="inlineStr">
        <is>
          <t>Secular Cross-Asset Equity-to-Gold Ratio Valuation Cycle</t>
        </is>
      </c>
      <c r="D4" s="300" t="inlineStr">
        <is>
          <t>v1.0</t>
        </is>
      </c>
      <c r="E4" s="310" t="n"/>
      <c r="F4" s="310" t="inlineStr">
        <is>
          <t>VIDEO-001 Ingestion</t>
        </is>
      </c>
      <c r="G4" s="300" t="inlineStr">
        <is>
          <t>Asset prices evaluated in standalone nominal currency terms without cross-asset ratio normalization.</t>
        </is>
      </c>
      <c r="H4" s="300" t="inlineStr">
        <is>
          <t>Gold/S&amp;P 500 ratio at 0.57 vs secular peaks of 4.0-6.0 demonstrates generational undervaluation of monetary reserves relative to paper equity claims.</t>
        </is>
      </c>
      <c r="I4" s="300" t="inlineStr">
        <is>
          <t>Baseline 0.82 (Multi-Decade Ratio Model)</t>
        </is>
      </c>
      <c r="J4" s="300" t="inlineStr">
        <is>
          <t>Catalyzed by 100-year commodity/equity cycle analysis; rounding bases against tech indices indicate capital rotation onset.</t>
        </is>
      </c>
    </row>
    <row r="5">
      <c r="A5" s="300" t="inlineStr">
        <is>
          <t>EVO-004</t>
        </is>
      </c>
      <c r="B5" s="300" t="inlineStr">
        <is>
          <t>KO-FIN-MINER-RATIO-BREAKOUT-001</t>
        </is>
      </c>
      <c r="C5" s="310" t="inlineStr">
        <is>
          <t>Mining Equity Operating Leverage Base Breakout Dynamics</t>
        </is>
      </c>
      <c r="D5" s="300" t="inlineStr">
        <is>
          <t>v1.0</t>
        </is>
      </c>
      <c r="E5" s="310" t="n"/>
      <c r="F5" s="310" t="inlineStr">
        <is>
          <t>VIDEO-001 Ingestion</t>
        </is>
      </c>
      <c r="G5" s="300" t="inlineStr">
        <is>
          <t>Mining equities assumed to perpetually lag metal prices due to capital misallocation and cost inflation.</t>
        </is>
      </c>
      <c r="H5" s="300" t="inlineStr">
        <is>
          <t>13-year base breakout in GDX/Gold ratio confirms producer operating margin expansion and multi-year equity operating leverage over metal.</t>
        </is>
      </c>
      <c r="I5" s="300" t="inlineStr">
        <is>
          <t>Baseline 0.86 (Resource Economics Anchor)</t>
        </is>
      </c>
      <c r="J5" s="300" t="inlineStr">
        <is>
          <t>Catalyzed by multi-year consolidation breakout; boundary set at senior producer AISC margin stability.</t>
        </is>
      </c>
    </row>
    <row r="6">
      <c r="A6" s="300" t="inlineStr">
        <is>
          <t>EVO-005</t>
        </is>
      </c>
      <c r="B6" s="300" t="inlineStr">
        <is>
          <t>KO-FIN-RATE-HIKE-DISCOUNTING-BOTTOM-001</t>
        </is>
      </c>
      <c r="C6" s="310" t="inlineStr">
        <is>
          <t>Pre-emptive Tightening Discounting and Policy Announcement Bottoms</t>
        </is>
      </c>
      <c r="D6" s="300" t="inlineStr">
        <is>
          <t>v1.0</t>
        </is>
      </c>
      <c r="E6" s="310" t="n"/>
      <c r="F6" s="310" t="inlineStr">
        <is>
          <t>VIDEO-002 Ingestion</t>
        </is>
      </c>
      <c r="G6" s="300" t="inlineStr">
        <is>
          <t>Market consensus assumed tangible asset prices reach their lowest point at the conclusion of a rate hiking cycle.</t>
        </is>
      </c>
      <c r="H6" s="300" t="inlineStr">
        <is>
          <t>Empirical evidence demonstrates that bond markets pre-emptively discount tightening (2Y yield surge); physical rate hike announcements mark liquidity exhaustion bottoms.</t>
        </is>
      </c>
      <c r="I6" s="300" t="inlineStr">
        <is>
          <t>Baseline 0.78 (Monetary Transmission Model)</t>
        </is>
      </c>
      <c r="J6" s="300" t="inlineStr">
        <is>
          <t>Catalyzed by historical 2004, 2015, and 2022 policy cycle comparisons in VIDEO-002; codified sell-the-rumor/buy-the-news discounting.</t>
        </is>
      </c>
    </row>
    <row r="7">
      <c r="A7" s="300" t="inlineStr">
        <is>
          <t>EVO-006</t>
        </is>
      </c>
      <c r="B7" s="300" t="inlineStr">
        <is>
          <t>KO-FIN-UNDERALLOCATION-BEAR-ROTATION-001</t>
        </is>
      </c>
      <c r="C7" s="310" t="inlineStr">
        <is>
          <t>Institutional Under-Allocation Buffer and Equity Bear Rotation</t>
        </is>
      </c>
      <c r="D7" s="300" t="inlineStr">
        <is>
          <t>v1.0</t>
        </is>
      </c>
      <c r="E7" s="310" t="n"/>
      <c r="F7" s="310" t="inlineStr">
        <is>
          <t>VIDEO-002 Ingestion</t>
        </is>
      </c>
      <c r="G7" s="300" t="inlineStr">
        <is>
          <t>Asset allocation models assumed institutional capital rotations require large-scale active reallocation campaigns.</t>
        </is>
      </c>
      <c r="H7" s="300" t="inlineStr">
        <is>
          <t>Extreme institutional under-allocation (&lt;1% portfolio weighting) creates asymmetric upside buffer; marginal 50 bps allocation surge overwhelms physical bullion float.</t>
        </is>
      </c>
      <c r="I7" s="300" t="inlineStr">
        <is>
          <t>Baseline 0.76 (Institutional Capital Allocation)</t>
        </is>
      </c>
      <c r="J7" s="300" t="inlineStr">
        <is>
          <t>Catalyzed by global pension fund allocation filings and ETF liquidity data in VIDEO-002.</t>
        </is>
      </c>
    </row>
    <row r="8">
      <c r="A8" s="300" t="inlineStr">
        <is>
          <t>EVO-007</t>
        </is>
      </c>
      <c r="B8" s="300" t="inlineStr">
        <is>
          <t>KO-FIN-PRODUCER-OUTPERFORMANCE-CYCLE-001</t>
        </is>
      </c>
      <c r="C8" s="310" t="inlineStr">
        <is>
          <t>Producer Operating Margin Expansion and Bull Cycle Confirmation</t>
        </is>
      </c>
      <c r="D8" s="300" t="inlineStr">
        <is>
          <t>v1.0</t>
        </is>
      </c>
      <c r="E8" s="310" t="n"/>
      <c r="F8" s="310" t="inlineStr">
        <is>
          <t>VIDEO-002 Ingestion</t>
        </is>
      </c>
      <c r="G8" s="300" t="inlineStr">
        <is>
          <t>Bullion price increases assumed to automatically lift all mining equities equally.</t>
        </is>
      </c>
      <c r="H8" s="300" t="inlineStr">
        <is>
          <t>Authentic bull cycle confirmation requires sustained senior producer outperformance over bullion, driven by expanding free cash flow yields and dividend growth.</t>
        </is>
      </c>
      <c r="I8" s="300" t="inlineStr">
        <is>
          <t>Baseline 0.80 (Resource Economics &amp; Quality Filter)</t>
        </is>
      </c>
      <c r="J8" s="300" t="inlineStr">
        <is>
          <t>Catalyzed by relative strength index divergence between bullion spot and senior gold miners in VIDEO-002.</t>
        </is>
      </c>
    </row>
    <row r="9">
      <c r="A9" s="300" t="inlineStr">
        <is>
          <t>EVO-008</t>
        </is>
      </c>
      <c r="B9" s="300" t="inlineStr">
        <is>
          <t>KO-MACRO-SUPPLY-SHOCK-POLICY-FAILURE-001</t>
        </is>
      </c>
      <c r="C9" s="310" t="inlineStr">
        <is>
          <t>Inelastic Cost-Push Supply Shock Policy Asymmetry</t>
        </is>
      </c>
      <c r="D9" s="300" t="inlineStr">
        <is>
          <t>v1.0</t>
        </is>
      </c>
      <c r="E9" s="310" t="n"/>
      <c r="F9" s="310" t="inlineStr">
        <is>
          <t>VIDEO-003 Ingestion</t>
        </is>
      </c>
      <c r="G9" s="300" t="inlineStr">
        <is>
          <t>Monetary policy interest rate adjustments believed to be effective in controlling all forms of headline inflation.</t>
        </is>
      </c>
      <c r="H9" s="300" t="inlineStr">
        <is>
          <t>Central bank rate hikes fail to resolve inelastic upstream chemical and energy supply shocks (sulfuric acid export bans, Hormuz transit bottlenecks); demand destruction occurs before supply responds.</t>
        </is>
      </c>
      <c r="I9" s="300" t="inlineStr">
        <is>
          <t>Baseline 0.78 (Supply Chain Dynamics)</t>
        </is>
      </c>
      <c r="J9" s="300" t="inlineStr">
        <is>
          <t>Catalyzed by global fertilizer/sulfur supply chain breakdowns in VIDEO-003; added supply chain rigidity as explicit boundary constraint.</t>
        </is>
      </c>
    </row>
    <row r="10">
      <c r="A10" s="300" t="inlineStr">
        <is>
          <t>EVO-009</t>
        </is>
      </c>
      <c r="B10" s="300" t="inlineStr">
        <is>
          <t>KO-FIN-DE-DOLLARIZATION-SANCTIONS-001</t>
        </is>
      </c>
      <c r="C10" s="310" t="inlineStr">
        <is>
          <t>Geopolitical Dollar Weaponization and Sovereign Gold Re-anchoring</t>
        </is>
      </c>
      <c r="D10" s="300" t="inlineStr">
        <is>
          <t>v1.0</t>
        </is>
      </c>
      <c r="E10" s="310" t="n"/>
      <c r="F10" s="310" t="inlineStr">
        <is>
          <t>VIDEO-003 Ingestion</t>
        </is>
      </c>
      <c r="G10" s="300" t="inlineStr">
        <is>
          <t>US Treasury bonds viewed as the undisputed, default risk-free asset for all sovereign central bank reserves.</t>
        </is>
      </c>
      <c r="H10" s="300" t="inlineStr">
        <is>
          <t>Sanctions weaponization and foreign reserve confiscation transform Treasuries into counterparty liability; non-aligned central banks structurally accumulate physical bullion as sanction-proof neutral reserve.</t>
        </is>
      </c>
      <c r="I10" s="300" t="inlineStr">
        <is>
          <t>Baseline 0.85 (Geopolitical Monetary Economics)</t>
        </is>
      </c>
      <c r="J10" s="300" t="inlineStr">
        <is>
          <t>Catalyzed by post-2022 central bank gold accumulation data and currency settlement shifts in VIDEO-003.</t>
        </is>
      </c>
    </row>
    <row r="11">
      <c r="A11" s="300" t="inlineStr">
        <is>
          <t>EVO-010</t>
        </is>
      </c>
      <c r="B11" s="300" t="inlineStr">
        <is>
          <t>KO-FIN-BASIS-TRADE-LEVERAGE-001</t>
        </is>
      </c>
      <c r="C11" s="310" t="inlineStr">
        <is>
          <t>Leveraged Sovereign Debt Basis Trade Systemic Fragility</t>
        </is>
      </c>
      <c r="D11" s="300" t="inlineStr">
        <is>
          <t>v1.0</t>
        </is>
      </c>
      <c r="E11" s="310" t="n"/>
      <c r="F11" s="310" t="inlineStr">
        <is>
          <t>VIDEO-003 Ingestion</t>
        </is>
      </c>
      <c r="G11" s="300" t="inlineStr">
        <is>
          <t>Hedge fund cash-futures basis trades seen as benign market-making arbitrage that enhances Treasury market liquidity.</t>
        </is>
      </c>
      <c r="H11" s="300" t="inlineStr">
        <is>
          <t>50x to 100x leverage on basis trades creates systemic tail risk; repo rate spikes or volatility surges force sudden unwinds, requiring emergency Treasury buybacks to avert auction failure.</t>
        </is>
      </c>
      <c r="I11" s="300" t="inlineStr">
        <is>
          <t>Baseline 0.76 (Market Microstructure &amp; Liquidity Risk)</t>
        </is>
      </c>
      <c r="J11" s="300" t="inlineStr">
        <is>
          <t>Catalyzed by Treasury buyback program announcements and SEC hedge fund leverage reporting in VIDEO-003.</t>
        </is>
      </c>
    </row>
    <row r="12">
      <c r="A12" s="300" t="inlineStr">
        <is>
          <t>EVO-011</t>
        </is>
      </c>
      <c r="B12" s="300" t="inlineStr">
        <is>
          <t>KO-FIN-STRUCTURED-SPV-CREDIT-ARBITRAGE-001</t>
        </is>
      </c>
      <c r="C12" s="310" t="inlineStr">
        <is>
          <t>Structured SPV Rating Arbitrage and Syndicated Infrastructure Credit Contagion</t>
        </is>
      </c>
      <c r="D12" s="300" t="inlineStr">
        <is>
          <t>v1.0</t>
        </is>
      </c>
      <c r="E12" s="310" t="n"/>
      <c r="F12" s="310" t="inlineStr">
        <is>
          <t>VIDEO-004 Ingestion</t>
        </is>
      </c>
      <c r="G12" s="300" t="inlineStr">
        <is>
          <t>Special Purpose Vehicle (SPV) financing assumed to cleanly isolate corporate project liabilities from parent balance sheets.</t>
        </is>
      </c>
      <c r="H12" s="300" t="inlineStr">
        <is>
          <t>SPV structures create synthetic investment-grade ratings for sub-investment grade infrastructure projects; project delays directly threaten syndicated bank credit stability and corporate solvency.</t>
        </is>
      </c>
      <c r="I12" s="300" t="inlineStr">
        <is>
          <t>Baseline 0.82 (Structured Finance &amp; Credit Risk)</t>
        </is>
      </c>
      <c r="J12" s="300" t="inlineStr">
        <is>
          <t>Catalyzed by Oracle Project Jupiter $38B syndicated loan analysis in VIDEO-004.</t>
        </is>
      </c>
    </row>
    <row r="13">
      <c r="A13" s="300" t="inlineStr">
        <is>
          <t>EVO-012</t>
        </is>
      </c>
      <c r="B13" s="300" t="inlineStr">
        <is>
          <t>KO-FIN-COMPUTE-TOKEN-DEFLATION-001</t>
        </is>
      </c>
      <c r="C13" s="310" t="inlineStr">
        <is>
          <t>Capital Expenditure Debt Servicing vs Compute Token Price Deflation</t>
        </is>
      </c>
      <c r="D13" s="300" t="inlineStr">
        <is>
          <t>v1.0</t>
        </is>
      </c>
      <c r="E13" s="310" t="n"/>
      <c r="F13" s="310" t="inlineStr">
        <is>
          <t>VIDEO-004 Ingestion</t>
        </is>
      </c>
      <c r="G13" s="300" t="inlineStr">
        <is>
          <t>Hyperscaler AI capital expenditure viewed as self-funding through exponential revenue expansion.</t>
        </is>
      </c>
      <c r="H13" s="300" t="inlineStr">
        <is>
          <t>Fixed coupon debt obligations on multi-billion dollar capex collide with collapsing compute token pricing ($/M tokens falling 80%), creating severe cash flow margin compression.</t>
        </is>
      </c>
      <c r="I13" s="300" t="inlineStr">
        <is>
          <t>Baseline 0.80 (Technology Economics &amp; Corporate Debt)</t>
        </is>
      </c>
      <c r="J13" s="300" t="inlineStr">
        <is>
          <t>Catalyzed by hyperscaler free cash flow deficit disclosures and compute market pricing collapse in VIDEO-004.</t>
        </is>
      </c>
    </row>
    <row r="14">
      <c r="A14" s="300" t="inlineStr">
        <is>
          <t>EVO-013</t>
        </is>
      </c>
      <c r="B14" s="300" t="inlineStr">
        <is>
          <t>KO-FIN-SHADOW-CAPEX-COMMITMENT-WALL-001</t>
        </is>
      </c>
      <c r="C14" s="310" t="inlineStr">
        <is>
          <t>Off-Balance Sheet Shadow Capex Commitment Refinancing Risk</t>
        </is>
      </c>
      <c r="D14" s="300" t="inlineStr">
        <is>
          <t>v1.0</t>
        </is>
      </c>
      <c r="E14" s="310" t="n"/>
      <c r="F14" s="310" t="inlineStr">
        <is>
          <t>VIDEO-004 Ingestion</t>
        </is>
      </c>
      <c r="G14" s="300" t="inlineStr">
        <is>
          <t>Corporate disclosures in 10-K footnotes treated as secondary operational commitments without immediate credit rating impact.</t>
        </is>
      </c>
      <c r="H14" s="300" t="inlineStr">
        <is>
          <t>Hundreds of billions in uncapitalized take-or-pay cloud and power purchase agreements function as debt equivalents, accelerating rating agency downgrades upon refinancing.</t>
        </is>
      </c>
      <c r="I14" s="300" t="inlineStr">
        <is>
          <t>Baseline 0.78 (Corporate Credit Mechanics)</t>
        </is>
      </c>
      <c r="J14" s="300" t="inlineStr">
        <is>
          <t>Catalyzed by Morgan Stanley footnote audit of hyperscaler power commitments in VIDEO-004.</t>
        </is>
      </c>
    </row>
    <row r="15">
      <c r="A15" s="300" t="inlineStr">
        <is>
          <t>EVO-014</t>
        </is>
      </c>
      <c r="B15" s="300" t="inlineStr">
        <is>
          <t>KO-FIN-CONSENSUS-SATURATION-001</t>
        </is>
      </c>
      <c r="C15" s="310" t="inlineStr">
        <is>
          <t>Consensus Saturation Dynamics and Exhaustion Catalysts</t>
        </is>
      </c>
      <c r="D15" s="300" t="inlineStr">
        <is>
          <t>v1.0</t>
        </is>
      </c>
      <c r="E15" s="310" t="n"/>
      <c r="F15" s="310" t="inlineStr">
        <is>
          <t>VIDEO-005 Ingestion</t>
        </is>
      </c>
      <c r="G15" s="300" t="inlineStr">
        <is>
          <t>Bull markets believed to terminate when retail investors flood the market.</t>
        </is>
      </c>
      <c r="H15" s="300" t="inlineStr">
        <is>
          <t>Cyclical tops occur when generalist institutional consensus becomes universally saturated and all marginal capital is deployed, leaving zero incremental buyers regardless of fundamental thesis.</t>
        </is>
      </c>
      <c r="I15" s="300" t="inlineStr">
        <is>
          <t>Baseline 0.88 (Market Psychology &amp; Cyclical Tops)</t>
        </is>
      </c>
      <c r="J15" s="300" t="inlineStr">
        <is>
          <t>Catalyzed by Druckenmiller consensus saturation heuristics and 2011 US debt downgrade top analog in VIDEO-005.</t>
        </is>
      </c>
    </row>
    <row r="16">
      <c r="A16" s="300" t="inlineStr">
        <is>
          <t>EVO-015</t>
        </is>
      </c>
      <c r="B16" s="300" t="inlineStr">
        <is>
          <t>KO-MACRO-PERCEPTION-REALITY-ARBITRAGE-001</t>
        </is>
      </c>
      <c r="C16" s="310" t="inlineStr">
        <is>
          <t>Perception-Reality Arbitrage in Central Bank Signaling</t>
        </is>
      </c>
      <c r="D16" s="300" t="inlineStr">
        <is>
          <t>v1.0</t>
        </is>
      </c>
      <c r="E16" s="310" t="n"/>
      <c r="F16" s="310" t="inlineStr">
        <is>
          <t>VIDEO-005 Ingestion</t>
        </is>
      </c>
      <c r="G16" s="300" t="inlineStr">
        <is>
          <t>Central bank communication assumed to be an objective reflection of economic indicators.</t>
        </is>
      </c>
      <c r="H16" s="300" t="inlineStr">
        <is>
          <t>Central bank forward guidance is an intentional perception-management tool; the divergence between public signaling and fiscal reality creates strategic positioning windows for tangible assets.</t>
        </is>
      </c>
      <c r="I16" s="300" t="inlineStr">
        <is>
          <t>Baseline 0.85 (Epistemology &amp; Monetary Policy)</t>
        </is>
      </c>
      <c r="J16" s="300" t="inlineStr">
        <is>
          <t>Catalyzed by 1970s Arthur Burns political pressure analogs and Powell inflation signaling analysis in VIDEO-005.</t>
        </is>
      </c>
    </row>
    <row r="17">
      <c r="A17" s="300" t="inlineStr">
        <is>
          <t>EVO-016</t>
        </is>
      </c>
      <c r="B17" s="300" t="inlineStr">
        <is>
          <t>KO-STRAT-REGIME-ADAPTIVE-EXECUTION-001</t>
        </is>
      </c>
      <c r="C17" s="310" t="inlineStr">
        <is>
          <t>Inverted Regime-Adaptive Execution Heuristics</t>
        </is>
      </c>
      <c r="D17" s="300" t="inlineStr">
        <is>
          <t>v1.0</t>
        </is>
      </c>
      <c r="E17" s="310" t="n"/>
      <c r="F17" s="310" t="inlineStr">
        <is>
          <t>VIDEO-005 Ingestion</t>
        </is>
      </c>
      <c r="G17" s="300" t="inlineStr">
        <is>
          <t>Static trend-following and momentum trading rules applied uniformly across all market regimes.</t>
        </is>
      </c>
      <c r="H17" s="300" t="inlineStr">
        <is>
          <t>Tactical execution heuristics must completely invert between primary secular bull regimes (buying pullbacks, wide trailing stops, ignoring overbought conditions) and bear regimes (selling rallies, strict profit taking).</t>
        </is>
      </c>
      <c r="I17" s="300" t="inlineStr">
        <is>
          <t>Baseline 0.90 (Quantitative Decision Science)</t>
        </is>
      </c>
      <c r="J17" s="300" t="inlineStr">
        <is>
          <t>Catalyzed by Bob Thompson cross-regime execution analysis in VIDEO-005; integrated into capital decision cockpit rules.</t>
        </is>
      </c>
    </row>
    <row r="18">
      <c r="A18" s="300" t="inlineStr">
        <is>
          <t>EVO-017</t>
        </is>
      </c>
      <c r="B18" s="300" t="inlineStr">
        <is>
          <t>KO-MACRO-RESOURCE-REFLEXIVITY-LOOP-001</t>
        </is>
      </c>
      <c r="C18" s="310" t="inlineStr">
        <is>
          <t>Resource-Driven Macroeconomic Reflexivity Loop</t>
        </is>
      </c>
      <c r="D18" s="300" t="inlineStr">
        <is>
          <t>v1.0</t>
        </is>
      </c>
      <c r="E18" s="310" t="n"/>
      <c r="F18" s="310" t="inlineStr">
        <is>
          <t>VIDEO-005 Ingestion</t>
        </is>
      </c>
      <c r="G18" s="300" t="inlineStr">
        <is>
          <t>Equity markets viewed as passive mirrors reflecting real economic output.</t>
        </is>
      </c>
      <c r="H18" s="300" t="inlineStr">
        <is>
          <t>Outperformance in resource equity markets reflexively enhances corporate balance sheets, stimulates capital reinvestment, and rehabilitates domestic real economic activity.</t>
        </is>
      </c>
      <c r="I18" s="300" t="inlineStr">
        <is>
          <t>Baseline 0.78 (Capital Allocation &amp; Reflexivity)</t>
        </is>
      </c>
      <c r="J18" s="300" t="inlineStr">
        <is>
          <t>Catalyzed by Canadian resource equity decoupling and Soros reflexivity loop analysis in VIDEO-005.</t>
        </is>
      </c>
    </row>
    <row r="19">
      <c r="A19" s="300" t="inlineStr">
        <is>
          <t>EVO-018</t>
        </is>
      </c>
      <c r="B19" s="300" t="inlineStr">
        <is>
          <t>KO-ARCH-FAILURE-CODIFICATION-RESILIENCE-001</t>
        </is>
      </c>
      <c r="C19" s="310" t="inlineStr">
        <is>
          <t>Elastic Failure Codification &amp; Generational Resilience Heuristics</t>
        </is>
      </c>
      <c r="D19" s="300" t="inlineStr">
        <is>
          <t>v1.0</t>
        </is>
      </c>
      <c r="E19" s="310" t="n"/>
      <c r="F19" s="310" t="inlineStr">
        <is>
          <t>VIDEO-005 Ingestion</t>
        </is>
      </c>
      <c r="G19" s="300" t="inlineStr">
        <is>
          <t>Organizational risk management focused on avoiding operational mistakes.</t>
        </is>
      </c>
      <c r="H19" s="300" t="inlineStr">
        <is>
          <t>Institutional resilience requires systematic codification of generational failures (rubber ball vs glass ball framework), transforming error memory into adaptive survival instincts.</t>
        </is>
      </c>
      <c r="I19" s="300" t="inlineStr">
        <is>
          <t>Baseline 0.82 (Knowledge Architecture &amp; Governance)</t>
        </is>
      </c>
      <c r="J19" s="300" t="inlineStr">
        <is>
          <t>Catalyzed by generational market cycle trauma transmission and institutional memory frameworks in VIDEO-005.</t>
        </is>
      </c>
    </row>
    <row r="21" ht="15.75" customHeight="1" s="132"/>
    <row r="22" ht="15.75" customHeight="1" s="132"/>
    <row r="23" ht="15.75" customHeight="1" s="132"/>
    <row r="24" ht="15.75" customHeight="1" s="132"/>
    <row r="25" ht="15.75" customHeight="1" s="132"/>
    <row r="26" ht="15.75" customHeight="1" s="132"/>
    <row r="27" ht="15.75" customHeight="1" s="132"/>
    <row r="28" ht="15.75" customHeight="1" s="132"/>
    <row r="29" ht="15.75" customHeight="1" s="132"/>
    <row r="30" ht="15.75" customHeight="1" s="132"/>
    <row r="31" ht="15.75" customHeight="1" s="132"/>
    <row r="32" ht="15.75" customHeight="1" s="132"/>
    <row r="33" ht="15.75" customHeight="1" s="132"/>
    <row r="34" ht="15.75" customHeight="1" s="132"/>
    <row r="35" ht="15.75" customHeight="1" s="132"/>
    <row r="36" ht="15.75" customHeight="1" s="132"/>
    <row r="37" ht="15.75" customHeight="1" s="132"/>
    <row r="38" ht="15.75" customHeight="1" s="132"/>
    <row r="39" ht="15.75" customHeight="1" s="132"/>
    <row r="40" ht="15.75" customHeight="1" s="132"/>
    <row r="41" ht="15.75" customHeight="1" s="132"/>
    <row r="42" ht="15.75" customHeight="1" s="132"/>
    <row r="43" ht="15.75" customHeight="1" s="132"/>
    <row r="44" ht="15.75" customHeight="1" s="132"/>
    <row r="45" ht="15.75" customHeight="1" s="132"/>
    <row r="46" ht="15.75" customHeight="1" s="132"/>
    <row r="47" ht="15.75" customHeight="1" s="132"/>
    <row r="48" ht="15.75" customHeight="1" s="132"/>
    <row r="49" ht="15.75" customHeight="1" s="132"/>
    <row r="50" ht="15.75" customHeight="1" s="132"/>
    <row r="51" ht="15.75" customHeight="1" s="132"/>
    <row r="52" ht="15.75" customHeight="1" s="132"/>
    <row r="53" ht="15.75" customHeight="1" s="132"/>
    <row r="54" ht="15.75" customHeight="1" s="132"/>
    <row r="55" ht="15.75" customHeight="1" s="132"/>
    <row r="56" ht="15.75" customHeight="1" s="132"/>
    <row r="57" ht="15.75" customHeight="1" s="132"/>
    <row r="58" ht="15.75" customHeight="1" s="132"/>
    <row r="59" ht="15.75" customHeight="1" s="132"/>
    <row r="60" ht="15.75" customHeight="1" s="132"/>
    <row r="61" ht="15.75" customHeight="1" s="132"/>
    <row r="62" ht="15.75" customHeight="1" s="132"/>
    <row r="63" ht="15.75" customHeight="1" s="132"/>
    <row r="64" ht="15.75" customHeight="1" s="132"/>
    <row r="65" ht="15.75" customHeight="1" s="132"/>
    <row r="66" ht="15.75" customHeight="1" s="132"/>
    <row r="67" ht="15.75" customHeight="1" s="132"/>
    <row r="68" ht="15.75" customHeight="1" s="132"/>
    <row r="69" ht="15.75" customHeight="1" s="132"/>
    <row r="70" ht="15.75" customHeight="1" s="132"/>
    <row r="71" ht="15.75" customHeight="1" s="132"/>
    <row r="72" ht="15.75" customHeight="1" s="132"/>
    <row r="73" ht="15.75" customHeight="1" s="132"/>
    <row r="74" ht="15.75" customHeight="1" s="132"/>
    <row r="75" ht="15.75" customHeight="1" s="132"/>
    <row r="76" ht="15.75" customHeight="1" s="132"/>
    <row r="77" ht="15.75" customHeight="1" s="132"/>
    <row r="78" ht="15.75" customHeight="1" s="132"/>
    <row r="79" ht="15.75" customHeight="1" s="132"/>
    <row r="80" ht="15.75" customHeight="1" s="132"/>
    <row r="81" ht="15.75" customHeight="1" s="132"/>
    <row r="82" ht="15.75" customHeight="1" s="132"/>
    <row r="83" ht="15.75" customHeight="1" s="132"/>
    <row r="84" ht="15.75" customHeight="1" s="132"/>
    <row r="85" ht="15.75" customHeight="1" s="132"/>
    <row r="86" ht="15.75" customHeight="1" s="132"/>
    <row r="87" ht="15.75" customHeight="1" s="132"/>
    <row r="88" ht="15.75" customHeight="1" s="132"/>
    <row r="89" ht="15.75" customHeight="1" s="132"/>
    <row r="90" ht="15.75" customHeight="1" s="132"/>
    <row r="91" ht="15.75" customHeight="1" s="132"/>
    <row r="92" ht="15.75" customHeight="1" s="132"/>
    <row r="93" ht="15.75" customHeight="1" s="132"/>
    <row r="94" ht="15.75" customHeight="1" s="132"/>
    <row r="95" ht="15.75" customHeight="1" s="132"/>
    <row r="96" ht="15.75" customHeight="1" s="132"/>
    <row r="97" ht="15.75" customHeight="1" s="132"/>
    <row r="98" ht="15.75" customHeight="1" s="132"/>
    <row r="99" ht="15.75" customHeight="1" s="132"/>
    <row r="100" ht="15.75" customHeight="1" s="132"/>
    <row r="101" ht="15.75" customHeight="1" s="132"/>
    <row r="102" ht="15.75" customHeight="1" s="132"/>
    <row r="103" ht="15.75" customHeight="1" s="132"/>
    <row r="104" ht="15.75" customHeight="1" s="132"/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autoFilter ref="$A$1:$J$19"/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32" min="1" max="1"/>
    <col width="45" customWidth="1" style="132" min="2" max="2"/>
    <col width="12" customWidth="1" style="132" min="3" max="3"/>
    <col width="14" customWidth="1" style="132" min="4" max="4"/>
    <col width="22" customWidth="1" style="132" min="5" max="5"/>
    <col width="18" customWidth="1" style="132" min="6" max="6"/>
    <col width="18" customWidth="1" style="132" min="7" max="7"/>
    <col width="25" customWidth="1" style="132" min="8" max="8"/>
    <col width="65" customWidth="1" style="132" min="9" max="9"/>
    <col width="28" customWidth="1" style="132" min="10" max="10"/>
    <col width="15" customWidth="1" style="132" min="11" max="11"/>
  </cols>
  <sheetData>
    <row r="1">
      <c r="A1" s="212" t="inlineStr">
        <is>
          <t>KO_HISTORY_ID</t>
        </is>
      </c>
      <c r="B1" s="212" t="inlineStr">
        <is>
          <t>KO_ID</t>
        </is>
      </c>
      <c r="C1" s="212" t="inlineStr">
        <is>
          <t>VERSION</t>
        </is>
      </c>
      <c r="D1" s="212" t="inlineStr">
        <is>
          <t>DATE</t>
        </is>
      </c>
      <c r="E1" s="212" t="inlineStr">
        <is>
          <t>PREVIOUS_CONFIDENCE</t>
        </is>
      </c>
      <c r="F1" s="212" t="inlineStr">
        <is>
          <t>NEW_CONFIDENCE</t>
        </is>
      </c>
      <c r="G1" s="212" t="inlineStr">
        <is>
          <t>CHANGE_TYPE</t>
        </is>
      </c>
      <c r="H1" s="212" t="inlineStr">
        <is>
          <t>TRIGGER_SOURCE</t>
        </is>
      </c>
      <c r="I1" s="212" t="inlineStr">
        <is>
          <t>CHANGE_DESCRIPTION</t>
        </is>
      </c>
      <c r="J1" s="212" t="inlineStr">
        <is>
          <t>HUMAN_REVIEW_STATUS</t>
        </is>
      </c>
      <c r="K1" s="212" t="inlineStr">
        <is>
          <t>CREATED_BY</t>
        </is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RIE Portable Desktop</dc:creator>
  <dc:title xmlns:dc="http://purl.org/dc/elements/1.1/">RIE Command Center (Template)</dc:title>
  <dcterms:created xmlns:dcterms="http://purl.org/dc/terms/" xmlns:xsi="http://www.w3.org/2001/XMLSchema-instance" xsi:type="dcterms:W3CDTF">2026-09-24T03:46:59Z</dcterms:created>
  <dcterms:modified xmlns:dcterms="http://purl.org/dc/terms/" xmlns:xsi="http://www.w3.org/2001/XMLSchema-instance" xsi:type="dcterms:W3CDTF">2026-10-29T09:18:58Z</dcterms:modified>
  <cp:lastModifiedBy>RIE Portable Desktop</cp:lastModifiedBy>
</cp:coreProperties>
</file>